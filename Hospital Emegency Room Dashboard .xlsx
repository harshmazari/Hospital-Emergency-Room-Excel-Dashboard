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B682EBFA-BE66-4D9E-A26B-50E2E2D70CFC}" xr6:coauthVersionLast="47" xr6:coauthVersionMax="47" xr10:uidLastSave="{00000000-0000-0000-0000-000000000000}"/>
  <bookViews>
    <workbookView xWindow="-120" yWindow="-120" windowWidth="29040" windowHeight="15720" activeTab="1" xr2:uid="{F6716A8E-B33C-4BD4-88F3-81274B5A3501}"/>
  </bookViews>
  <sheets>
    <sheet name="Pivot Reports" sheetId="1" r:id="rId1"/>
    <sheet name="Dashboard" sheetId="2" r:id="rId2"/>
    <sheet name="Daily ER No. of Patients" sheetId="3" r:id="rId3"/>
    <sheet name="Average Wait Time Daily Tren" sheetId="4" r:id="rId4"/>
    <sheet name="Satisfaction score daily trends" sheetId="5" r:id="rId5"/>
  </sheets>
  <definedNames>
    <definedName name="Slicer_Date__Month">#N/A</definedName>
    <definedName name="Slicer_Date__Year">#N/A</definedName>
  </definedNames>
  <calcPr calcId="191029"/>
  <pivotCaches>
    <pivotCache cacheId="133" r:id="rId6"/>
    <pivotCache cacheId="136" r:id="rId7"/>
    <pivotCache cacheId="139" r:id="rId8"/>
    <pivotCache cacheId="142" r:id="rId9"/>
    <pivotCache cacheId="145" r:id="rId10"/>
    <pivotCache cacheId="148" r:id="rId11"/>
    <pivotCache cacheId="151" r:id="rId12"/>
    <pivotCache cacheId="154" r:id="rId13"/>
    <pivotCache cacheId="157" r:id="rId14"/>
    <pivotCache cacheId="160" r:id="rId15"/>
    <pivotCache cacheId="163" r:id="rId16"/>
    <pivotCache cacheId="166" r:id="rId17"/>
    <pivotCache cacheId="169"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4bd2a60-616d-4a0c-927a-6999508bdd38" name="Hospital Emergency Room Data" connection="Query - Hospital Emergency Room Data"/>
          <x15:modelTable id="Calender_Table_6d31ec74-496e-4361-ab1d-dc61b6aa17a7"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6" i="1" l="1"/>
  <c r="C55" i="1"/>
  <c r="B56" i="1"/>
  <c r="B55" i="1"/>
  <c r="A56" i="1"/>
  <c r="A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128222-182F-49FA-98C1-A5977A054455}" name="Query - Calender_Table" description="Connection to the 'Calender_Table' query in the workbook." type="100" refreshedVersion="8" minRefreshableVersion="5">
    <extLst>
      <ext xmlns:x15="http://schemas.microsoft.com/office/spreadsheetml/2010/11/main" uri="{DE250136-89BD-433C-8126-D09CA5730AF9}">
        <x15:connection id="0f0a78c3-29b2-4792-a7f1-5416e6f26cae"/>
      </ext>
    </extLst>
  </connection>
  <connection id="2" xr16:uid="{03A0BDFF-F1EF-4B9D-AFA7-08FF26F1225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8f168e7-e97d-4786-a5b6-3829c52afbc5"/>
      </ext>
    </extLst>
  </connection>
  <connection id="3" xr16:uid="{3ED8EE34-3783-45FC-947D-F4AF7CF8A07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<sst xmlns="http://schemas.openxmlformats.org/spreadsheetml/2006/main" count="165" uniqueCount="73">
  <si>
    <t>Distinct Count of Patient Id</t>
  </si>
  <si>
    <t>No. of Patients</t>
  </si>
  <si>
    <t>Average of Patient Waittime</t>
  </si>
  <si>
    <t>Average of Patient Satisfaction Score</t>
  </si>
  <si>
    <t>Grand Total</t>
  </si>
  <si>
    <t>Row Labels</t>
  </si>
  <si>
    <t>Daily Trends of No. of Patients Visiting to Emergency Room</t>
  </si>
  <si>
    <t>Average Wait Time</t>
  </si>
  <si>
    <t>Satisfaction Score daily  trend</t>
  </si>
  <si>
    <t>Delay</t>
  </si>
  <si>
    <t>Ontime</t>
  </si>
  <si>
    <t>Admitted</t>
  </si>
  <si>
    <t>Not Admitted</t>
  </si>
  <si>
    <t>Admission Status</t>
  </si>
  <si>
    <t>Age Group Wise Analysis</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</si>
  <si>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</si>
  <si>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</si>
  <si>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</si>
  <si>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</si>
  <si>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</si>
  <si>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</si>
  <si>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</si>
  <si>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</si>
  <si>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</si>
  <si>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</si>
  <si>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</si>
  <si>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</si>
  <si>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</si>
  <si>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Count of Patient Id</t>
  </si>
  <si>
    <t>Count of Patient Admission Flag</t>
  </si>
  <si>
    <t>Count of Patient Admission Flag2</t>
  </si>
  <si>
    <t>% Status</t>
  </si>
  <si>
    <t>0-09</t>
  </si>
  <si>
    <t>10-19</t>
  </si>
  <si>
    <t>20-29</t>
  </si>
  <si>
    <t>30-39</t>
  </si>
  <si>
    <t>40-49</t>
  </si>
  <si>
    <t>50-59</t>
  </si>
  <si>
    <t>60-69</t>
  </si>
  <si>
    <t>70-79</t>
  </si>
  <si>
    <t>Count of Age Group</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</si>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</sst>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0"/>
      <color theme="0"/>
      <name val="Calibri"/>
      <family val="2"/>
      <scheme val="minor"/>
    </font>
    <font>
      <sz val="8"/>
      <color theme="1"/>
      <name val="Calibri"/>
      <family val="2"/>
      <scheme val="minor"/>
    </font>
  </fonts>
  <fills count="6">
    <fill>
      <patternFill patternType="none"/>
    </fill>
    <fill>
      <patternFill patternType="gray125"/>
    </fill>
    <fill>
      <patternFill patternType="solid">
        <fgColor theme="8" tint="-0.249977111117893"/>
        <bgColor indexed="64"/>
      </patternFill>
    </fill>
    <fill>
      <patternFill patternType="solid">
        <fgColor theme="2" tint="-0.499984740745262"/>
        <bgColor indexed="64"/>
      </patternFill>
    </fill>
    <fill>
      <patternFill patternType="solid">
        <fgColor theme="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1" fontId="0" fillId="0" borderId="0" xfId="0" applyNumberFormat="1"/>
    <xf numFmtId="0" fontId="0" fillId="3" borderId="0" xfId="0" applyFill="1"/>
    <xf numFmtId="0" fontId="0" fillId="0" borderId="0" xfId="0" applyAlignment="1">
      <alignment horizontal="center"/>
    </xf>
    <xf numFmtId="0" fontId="0" fillId="5" borderId="0" xfId="0" applyFill="1"/>
    <xf numFmtId="0" fontId="0" fillId="5" borderId="0" xfId="0" applyFill="1" applyAlignment="1">
      <alignment wrapText="1"/>
    </xf>
    <xf numFmtId="10" fontId="0" fillId="0" borderId="0" xfId="0" applyNumberFormat="1"/>
    <xf numFmtId="0" fontId="0" fillId="0" borderId="0" xfId="0" applyAlignment="1">
      <alignment horizontal="center"/>
    </xf>
    <xf numFmtId="0" fontId="1" fillId="2" borderId="0" xfId="0" applyFont="1" applyFill="1" applyAlignment="1">
      <alignment horizontal="center"/>
    </xf>
    <xf numFmtId="0" fontId="2" fillId="4" borderId="0" xfId="0" applyFont="1" applyFill="1" applyAlignment="1">
      <alignment horizontal="center"/>
    </xf>
    <xf numFmtId="1" fontId="2" fillId="4" borderId="0" xfId="0" applyNumberFormat="1" applyFont="1" applyFill="1" applyAlignment="1">
      <alignment horizontal="center"/>
    </xf>
    <xf numFmtId="10" fontId="2" fillId="4" borderId="0" xfId="0" applyNumberFormat="1" applyFont="1" applyFill="1" applyAlignment="1">
      <alignment horizontal="center"/>
    </xf>
    <xf numFmtId="0" fontId="2" fillId="4" borderId="0" xfId="0" applyFont="1" applyFill="1"/>
  </cellXfs>
  <cellStyles count="1">
    <cellStyle name="Normal" xfId="0" builtinId="0"/>
  </cellStyles>
  <dxfs count="103">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numFmt numFmtId="2" formatCode="0.00"/>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patternType="solid">
          <bgColor theme="0"/>
        </patternFill>
      </fill>
      <border diagonalUp="0" diagonalDown="0">
        <left/>
        <right/>
        <top/>
        <bottom/>
        <vertical/>
        <horizontal/>
      </border>
    </dxf>
    <dxf>
      <fill>
        <patternFill>
          <bgColor rgb="FF305496"/>
        </patternFill>
      </fill>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7" defaultTableStyle="TableStyleMedium2" defaultPivotStyle="PivotStyleLight16">
    <tableStyle name="My Style" pivot="0" table="0" count="10" xr9:uid="{BD5C5CE4-B8A9-4742-B781-EE63F3CC1D0F}">
      <tableStyleElement type="wholeTable" dxfId="102"/>
      <tableStyleElement type="headerRow" dxfId="101"/>
    </tableStyle>
    <tableStyle name="New Style" pivot="0" table="0" count="10" xr9:uid="{3AF64293-707B-47E5-AD1C-CD66472729F4}">
      <tableStyleElement type="wholeTable" dxfId="100"/>
      <tableStyleElement type="headerRow" dxfId="99"/>
    </tableStyle>
    <tableStyle name="Slicer Style " pivot="0" table="0" count="1" xr9:uid="{6C72F2D8-DC82-459E-B50A-BD9D638D8397}">
      <tableStyleElement type="wholeTable" dxfId="98"/>
    </tableStyle>
    <tableStyle name="SlicerStyleDark" pivot="0" table="0" count="10" xr9:uid="{37749B4A-DAEC-4B2F-A43D-169A7F959F2C}">
      <tableStyleElement type="wholeTable" dxfId="97"/>
      <tableStyleElement type="headerRow" dxfId="96"/>
    </tableStyle>
    <tableStyle name="SlicerStyleDark2 2" pivot="0" table="0" count="10" xr9:uid="{157A8EF5-2806-47EB-9F7E-D727B5C5C5D8}">
      <tableStyleElement type="wholeTable" dxfId="95"/>
      <tableStyleElement type="headerRow" dxfId="94"/>
    </tableStyle>
    <tableStyle name="SlicerStyleDark2 3" pivot="0" table="0" count="10" xr9:uid="{D65F8DFD-260C-4A42-9BE9-9C271D8FAC93}">
      <tableStyleElement type="wholeTable" dxfId="93"/>
      <tableStyleElement type="headerRow" dxfId="92"/>
    </tableStyle>
    <tableStyle name="SlicerStyleDark2 4" pivot="0" table="0" count="10" xr9:uid="{56089ECB-8905-43F9-A336-C1D7742120D7}">
      <tableStyleElement type="wholeTable" dxfId="91"/>
      <tableStyleElement type="headerRow" dxfId="90"/>
    </tableStyle>
  </tableStyles>
  <colors>
    <mruColors>
      <color rgb="FF0C385C"/>
      <color rgb="FF305496"/>
      <color rgb="FF0B4264"/>
      <color rgb="FF003E5D"/>
      <color rgb="FFFFFF99"/>
      <color rgb="FFFFFFFF"/>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New Style">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 Style "/>
        <x14:slicerStyle name="SlicerStyleDark">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Reports!PivotTable6</c:name>
    <c:fmtId val="1"/>
  </c:pivotSource>
  <c:chart>
    <c:autoTitleDeleted val="0"/>
    <c:pivotFmts>
      <c:pivotFmt>
        <c:idx val="0"/>
        <c:spPr>
          <a:solidFill>
            <a:srgbClr val="0C385C"/>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fld id="{11D8E531-0C08-4BD0-8E35-BF6FDE266BAA}" type="CELLRANGE">
                  <a:rPr lang="en-US"/>
                  <a:pPr>
                    <a:defRPr sz="7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fld id="{1DEDA65F-2C18-4AF3-9C0E-BCBE01918507}" type="CELLRANGE">
                  <a:rPr lang="en-US"/>
                  <a:pPr>
                    <a:defRPr sz="7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7.7801656011311261E-3"/>
          <c:y val="2.2942105939040662E-2"/>
          <c:w val="0.89082303391478046"/>
          <c:h val="0.95411758542890124"/>
        </c:manualLayout>
      </c:layout>
      <c:barChart>
        <c:barDir val="bar"/>
        <c:grouping val="clustered"/>
        <c:varyColors val="0"/>
        <c:ser>
          <c:idx val="0"/>
          <c:order val="0"/>
          <c:tx>
            <c:strRef>
              <c:f>'Pivot Reports'!$C$45:$C$46</c:f>
              <c:strCache>
                <c:ptCount val="1"/>
                <c:pt idx="0">
                  <c:v>Count of Patient Admission Flag</c:v>
                </c:pt>
              </c:strCache>
            </c:strRef>
          </c:tx>
          <c:spPr>
            <a:solidFill>
              <a:srgbClr val="0C385C"/>
            </a:solidFill>
            <a:ln>
              <a:noFill/>
            </a:ln>
            <a:effectLst/>
          </c:spPr>
          <c:invertIfNegative val="0"/>
          <c:dLbls>
            <c:dLbl>
              <c:idx val="0"/>
              <c:tx>
                <c:rich>
                  <a:bodyPr/>
                  <a:lstStyle/>
                  <a:p>
                    <a:fld id="{11D8E531-0C08-4BD0-8E35-BF6FDE266BA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FC9-4593-BB0B-94B28AA73714}"/>
                </c:ext>
              </c:extLst>
            </c:dLbl>
            <c:dLbl>
              <c:idx val="1"/>
              <c:tx>
                <c:rich>
                  <a:bodyPr/>
                  <a:lstStyle/>
                  <a:p>
                    <a:fld id="{1DEDA65F-2C18-4AF3-9C0E-BCBE0191850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FC9-4593-BB0B-94B28AA73714}"/>
                </c:ext>
              </c:extLst>
            </c:dLbl>
            <c:spPr>
              <a:noFill/>
              <a:ln>
                <a:noFill/>
              </a:ln>
              <a:effectLst/>
            </c:spPr>
            <c:txPr>
              <a:bodyPr rot="0" spcFirstLastPara="1" vertOverflow="ellipsis" vert="horz" wrap="non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Reports'!$C$45:$C$46</c:f>
              <c:strCache>
                <c:ptCount val="2"/>
                <c:pt idx="0">
                  <c:v>Admitted</c:v>
                </c:pt>
                <c:pt idx="1">
                  <c:v>Not Admitted</c:v>
                </c:pt>
              </c:strCache>
            </c:strRef>
          </c:cat>
          <c:val>
            <c:numRef>
              <c:f>'Pivot Reports'!$C$45:$C$46</c:f>
              <c:numCache>
                <c:formatCode>0</c:formatCode>
                <c:ptCount val="2"/>
                <c:pt idx="0">
                  <c:v>253</c:v>
                </c:pt>
                <c:pt idx="1">
                  <c:v>253</c:v>
                </c:pt>
              </c:numCache>
            </c:numRef>
          </c:val>
          <c:extLst>
            <c:ext xmlns:c15="http://schemas.microsoft.com/office/drawing/2012/chart" uri="{02D57815-91ED-43cb-92C2-25804820EDAC}">
              <c15:datalabelsRange>
                <c15:f>'Pivot Reports'!$C$45:$C$46</c15:f>
                <c15:dlblRangeCache>
                  <c:ptCount val="2"/>
                  <c:pt idx="0">
                    <c:v>50.00%</c:v>
                  </c:pt>
                  <c:pt idx="1">
                    <c:v>50.00%</c:v>
                  </c:pt>
                </c15:dlblRangeCache>
              </c15:datalabelsRange>
            </c:ext>
            <c:ext xmlns:c16="http://schemas.microsoft.com/office/drawing/2014/chart" uri="{C3380CC4-5D6E-409C-BE32-E72D297353CC}">
              <c16:uniqueId val="{00000000-DFC9-4593-BB0B-94B28AA73714}"/>
            </c:ext>
          </c:extLst>
        </c:ser>
        <c:ser>
          <c:idx val="1"/>
          <c:order val="1"/>
          <c:tx>
            <c:strRef>
              <c:f>'Pivot Reports'!$C$45:$C$46</c:f>
              <c:strCache>
                <c:ptCount val="1"/>
                <c:pt idx="0">
                  <c:v>Count of Patient Admission Flag2</c:v>
                </c:pt>
              </c:strCache>
            </c:strRef>
          </c:tx>
          <c:spPr>
            <a:solidFill>
              <a:schemeClr val="accent2"/>
            </a:solidFill>
            <a:ln>
              <a:noFill/>
            </a:ln>
            <a:effectLst/>
          </c:spPr>
          <c:invertIfNegative val="0"/>
          <c:cat>
            <c:strRef>
              <c:f>'Pivot Reports'!$C$45:$C$46</c:f>
              <c:strCache>
                <c:ptCount val="2"/>
                <c:pt idx="0">
                  <c:v>Admitted</c:v>
                </c:pt>
                <c:pt idx="1">
                  <c:v>Not Admitted</c:v>
                </c:pt>
              </c:strCache>
            </c:strRef>
          </c:cat>
          <c:val>
            <c:numRef>
              <c:f>'Pivot Reports'!$C$45:$C$46</c:f>
              <c:numCache>
                <c:formatCode>0.00%</c:formatCode>
                <c:ptCount val="2"/>
                <c:pt idx="0">
                  <c:v>0.5</c:v>
                </c:pt>
                <c:pt idx="1">
                  <c:v>0.5</c:v>
                </c:pt>
              </c:numCache>
            </c:numRef>
          </c:val>
          <c:extLst>
            <c:ext xmlns:c16="http://schemas.microsoft.com/office/drawing/2014/chart" uri="{C3380CC4-5D6E-409C-BE32-E72D297353CC}">
              <c16:uniqueId val="{00000001-DFC9-4593-BB0B-94B28AA73714}"/>
            </c:ext>
          </c:extLst>
        </c:ser>
        <c:dLbls>
          <c:showLegendKey val="0"/>
          <c:showVal val="0"/>
          <c:showCatName val="0"/>
          <c:showSerName val="0"/>
          <c:showPercent val="0"/>
          <c:showBubbleSize val="0"/>
        </c:dLbls>
        <c:gapWidth val="0"/>
        <c:axId val="1672880272"/>
        <c:axId val="1672897072"/>
      </c:barChart>
      <c:catAx>
        <c:axId val="1672880272"/>
        <c:scaling>
          <c:orientation val="minMax"/>
        </c:scaling>
        <c:delete val="1"/>
        <c:axPos val="l"/>
        <c:numFmt formatCode="General" sourceLinked="1"/>
        <c:majorTickMark val="none"/>
        <c:minorTickMark val="none"/>
        <c:tickLblPos val="nextTo"/>
        <c:crossAx val="1672897072"/>
        <c:crosses val="autoZero"/>
        <c:auto val="1"/>
        <c:lblAlgn val="ctr"/>
        <c:lblOffset val="100"/>
        <c:noMultiLvlLbl val="0"/>
      </c:catAx>
      <c:valAx>
        <c:axId val="1672897072"/>
        <c:scaling>
          <c:orientation val="minMax"/>
        </c:scaling>
        <c:delete val="1"/>
        <c:axPos val="b"/>
        <c:numFmt formatCode="0" sourceLinked="1"/>
        <c:majorTickMark val="none"/>
        <c:minorTickMark val="none"/>
        <c:tickLblPos val="nextTo"/>
        <c:crossAx val="1672880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B4264"/>
          </a:solidFill>
          <a:ln>
            <a:noFill/>
          </a:ln>
          <a:effectLst/>
        </c:spPr>
        <c:dLbl>
          <c:idx val="0"/>
          <c:layout>
            <c:manualLayout>
              <c:x val="-0.2307241879746301"/>
              <c:y val="-0.1318819459222605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0.22070186265310679"/>
              <c:y val="0.1318819459222604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740138248301537"/>
          <c:y val="0.19195325821388839"/>
          <c:w val="0.67269852938270436"/>
          <c:h val="0.76416121857639407"/>
        </c:manualLayout>
      </c:layout>
      <c:pieChart>
        <c:varyColors val="1"/>
        <c:ser>
          <c:idx val="0"/>
          <c:order val="0"/>
          <c:tx>
            <c:strRef>
              <c:f>'Pivot Reports'!$B$73</c:f>
              <c:strCache>
                <c:ptCount val="1"/>
                <c:pt idx="0">
                  <c:v>Total</c:v>
                </c:pt>
              </c:strCache>
            </c:strRef>
          </c:tx>
          <c:dPt>
            <c:idx val="0"/>
            <c:bubble3D val="0"/>
            <c:spPr>
              <a:solidFill>
                <a:srgbClr val="0B4264"/>
              </a:solidFill>
              <a:ln>
                <a:noFill/>
              </a:ln>
              <a:effectLst/>
            </c:spPr>
            <c:extLst>
              <c:ext xmlns:c16="http://schemas.microsoft.com/office/drawing/2014/chart" uri="{C3380CC4-5D6E-409C-BE32-E72D297353CC}">
                <c16:uniqueId val="{00000001-A9DB-4A9D-83E4-4373BAA879E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9DB-4A9D-83E4-4373BAA879E8}"/>
              </c:ext>
            </c:extLst>
          </c:dPt>
          <c:dLbls>
            <c:dLbl>
              <c:idx val="0"/>
              <c:layout>
                <c:manualLayout>
                  <c:x val="-0.2307241879746301"/>
                  <c:y val="-0.1318819459222605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9DB-4A9D-83E4-4373BAA879E8}"/>
                </c:ext>
              </c:extLst>
            </c:dLbl>
            <c:dLbl>
              <c:idx val="1"/>
              <c:layout>
                <c:manualLayout>
                  <c:x val="0.22070186265310679"/>
                  <c:y val="0.1318819459222604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9DB-4A9D-83E4-4373BAA879E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Reports'!$A$74:$A$76</c:f>
              <c:strCache>
                <c:ptCount val="2"/>
                <c:pt idx="0">
                  <c:v>Delay</c:v>
                </c:pt>
                <c:pt idx="1">
                  <c:v>Ontime</c:v>
                </c:pt>
              </c:strCache>
            </c:strRef>
          </c:cat>
          <c:val>
            <c:numRef>
              <c:f>'Pivot Reports'!$B$74:$B$76</c:f>
              <c:numCache>
                <c:formatCode>0</c:formatCode>
                <c:ptCount val="2"/>
                <c:pt idx="0">
                  <c:v>312</c:v>
                </c:pt>
                <c:pt idx="1">
                  <c:v>194</c:v>
                </c:pt>
              </c:numCache>
            </c:numRef>
          </c:val>
          <c:extLst>
            <c:ext xmlns:c16="http://schemas.microsoft.com/office/drawing/2014/chart" uri="{C3380CC4-5D6E-409C-BE32-E72D297353CC}">
              <c16:uniqueId val="{00000004-A9DB-4A9D-83E4-4373BAA879E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2590326797889352E-2"/>
          <c:y val="5.1296564172240509E-2"/>
          <c:w val="0.80340969632392101"/>
          <c:h val="0.1057114562066908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Reports!PivotTable10</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0B4264"/>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075810891151026"/>
          <c:y val="0.1652444395070741"/>
          <c:w val="0.68876006269842693"/>
          <c:h val="0.69839711798639936"/>
        </c:manualLayout>
      </c:layout>
      <c:doughnutChart>
        <c:varyColors val="1"/>
        <c:ser>
          <c:idx val="0"/>
          <c:order val="0"/>
          <c:tx>
            <c:strRef>
              <c:f>'Pivot Reports'!$B$80</c:f>
              <c:strCache>
                <c:ptCount val="1"/>
                <c:pt idx="0">
                  <c:v>Total</c:v>
                </c:pt>
              </c:strCache>
            </c:strRef>
          </c:tx>
          <c:dPt>
            <c:idx val="0"/>
            <c:bubble3D val="0"/>
            <c:spPr>
              <a:solidFill>
                <a:srgbClr val="0B426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FEF-45F5-BF7C-DF096CBA5C9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FEF-45F5-BF7C-DF096CBA5C9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Reports'!$A$81:$A$83</c:f>
              <c:strCache>
                <c:ptCount val="2"/>
                <c:pt idx="0">
                  <c:v>Female</c:v>
                </c:pt>
                <c:pt idx="1">
                  <c:v>Male</c:v>
                </c:pt>
              </c:strCache>
            </c:strRef>
          </c:cat>
          <c:val>
            <c:numRef>
              <c:f>'Pivot Reports'!$B$81:$B$83</c:f>
              <c:numCache>
                <c:formatCode>0.00</c:formatCode>
                <c:ptCount val="2"/>
                <c:pt idx="0">
                  <c:v>231</c:v>
                </c:pt>
                <c:pt idx="1">
                  <c:v>275</c:v>
                </c:pt>
              </c:numCache>
            </c:numRef>
          </c:val>
          <c:extLst>
            <c:ext xmlns:c16="http://schemas.microsoft.com/office/drawing/2014/chart" uri="{C3380CC4-5D6E-409C-BE32-E72D297353CC}">
              <c16:uniqueId val="{00000004-1FEF-45F5-BF7C-DF096CBA5C98}"/>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8.1924275137475619E-2"/>
          <c:y val="5.4323154677238892E-3"/>
          <c:w val="0.81906902383119329"/>
          <c:h val="0.152613973592342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B42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731652986460879"/>
          <c:y val="8.3046702326615485E-2"/>
          <c:w val="0.5251847349139912"/>
          <c:h val="0.78153435698915208"/>
        </c:manualLayout>
      </c:layout>
      <c:barChart>
        <c:barDir val="bar"/>
        <c:grouping val="clustered"/>
        <c:varyColors val="0"/>
        <c:ser>
          <c:idx val="0"/>
          <c:order val="0"/>
          <c:tx>
            <c:strRef>
              <c:f>'Pivot Reports'!$B$87</c:f>
              <c:strCache>
                <c:ptCount val="1"/>
                <c:pt idx="0">
                  <c:v>Total</c:v>
                </c:pt>
              </c:strCache>
            </c:strRef>
          </c:tx>
          <c:spPr>
            <a:solidFill>
              <a:srgbClr val="0B4264"/>
            </a:solidFill>
            <a:ln>
              <a:noFill/>
            </a:ln>
            <a:effectLst/>
          </c:spPr>
          <c:invertIfNegative val="0"/>
          <c:cat>
            <c:strRef>
              <c:f>'Pivot Reports'!$A$88:$A$96</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Reports'!$B$88:$B$96</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6740-4AB2-AEDE-6968AE4E7281}"/>
            </c:ext>
          </c:extLst>
        </c:ser>
        <c:dLbls>
          <c:showLegendKey val="0"/>
          <c:showVal val="0"/>
          <c:showCatName val="0"/>
          <c:showSerName val="0"/>
          <c:showPercent val="0"/>
          <c:showBubbleSize val="0"/>
        </c:dLbls>
        <c:gapWidth val="91"/>
        <c:axId val="1590679776"/>
        <c:axId val="1590681856"/>
      </c:barChart>
      <c:catAx>
        <c:axId val="159067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1856"/>
        <c:crosses val="autoZero"/>
        <c:auto val="1"/>
        <c:lblAlgn val="ctr"/>
        <c:lblOffset val="100"/>
        <c:noMultiLvlLbl val="0"/>
      </c:catAx>
      <c:valAx>
        <c:axId val="15906818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7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Reports!PivotTable13</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C38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83535833407047E-3"/>
          <c:y val="0"/>
          <c:w val="0.99339164641665934"/>
          <c:h val="1"/>
        </c:manualLayout>
      </c:layout>
      <c:areaChart>
        <c:grouping val="standard"/>
        <c:varyColors val="0"/>
        <c:ser>
          <c:idx val="0"/>
          <c:order val="0"/>
          <c:tx>
            <c:strRef>
              <c:f>'Pivot Reports'!$E$4</c:f>
              <c:strCache>
                <c:ptCount val="1"/>
                <c:pt idx="0">
                  <c:v>Total</c:v>
                </c:pt>
              </c:strCache>
            </c:strRef>
          </c:tx>
          <c:spPr>
            <a:solidFill>
              <a:srgbClr val="0C385C"/>
            </a:solidFill>
            <a:ln>
              <a:noFill/>
            </a:ln>
            <a:effectLst/>
          </c:spPr>
          <c:cat>
            <c:strRef>
              <c:f>'Pivot Reports'!$D$5:$D$36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Reports'!$E$5:$E$36</c:f>
              <c:numCache>
                <c:formatCode>0</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5C24-4E72-9ECE-5CF333FB563A}"/>
            </c:ext>
          </c:extLst>
        </c:ser>
        <c:dLbls>
          <c:showLegendKey val="0"/>
          <c:showVal val="0"/>
          <c:showCatName val="0"/>
          <c:showSerName val="0"/>
          <c:showPercent val="0"/>
          <c:showBubbleSize val="0"/>
        </c:dLbls>
        <c:axId val="871124176"/>
        <c:axId val="871110736"/>
      </c:areaChart>
      <c:catAx>
        <c:axId val="871124176"/>
        <c:scaling>
          <c:orientation val="minMax"/>
        </c:scaling>
        <c:delete val="1"/>
        <c:axPos val="b"/>
        <c:numFmt formatCode="General" sourceLinked="1"/>
        <c:majorTickMark val="out"/>
        <c:minorTickMark val="none"/>
        <c:tickLblPos val="nextTo"/>
        <c:crossAx val="871110736"/>
        <c:crosses val="autoZero"/>
        <c:auto val="1"/>
        <c:lblAlgn val="ctr"/>
        <c:lblOffset val="100"/>
        <c:noMultiLvlLbl val="0"/>
      </c:catAx>
      <c:valAx>
        <c:axId val="871110736"/>
        <c:scaling>
          <c:orientation val="minMax"/>
        </c:scaling>
        <c:delete val="1"/>
        <c:axPos val="l"/>
        <c:numFmt formatCode="0" sourceLinked="1"/>
        <c:majorTickMark val="none"/>
        <c:minorTickMark val="none"/>
        <c:tickLblPos val="nextTo"/>
        <c:crossAx val="8711241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C38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863405885089487"/>
          <c:w val="0.99554360285298105"/>
          <c:h val="0.85136594114910513"/>
        </c:manualLayout>
      </c:layout>
      <c:areaChart>
        <c:grouping val="standard"/>
        <c:varyColors val="0"/>
        <c:ser>
          <c:idx val="0"/>
          <c:order val="0"/>
          <c:tx>
            <c:strRef>
              <c:f>'Pivot Reports'!$I$4</c:f>
              <c:strCache>
                <c:ptCount val="1"/>
                <c:pt idx="0">
                  <c:v>Total</c:v>
                </c:pt>
              </c:strCache>
            </c:strRef>
          </c:tx>
          <c:spPr>
            <a:solidFill>
              <a:srgbClr val="0C385C"/>
            </a:solidFill>
            <a:ln>
              <a:noFill/>
            </a:ln>
            <a:effectLst/>
          </c:spPr>
          <c:cat>
            <c:strRef>
              <c:f>'Pivot Reports'!$H$5:$H$36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Reports'!$I$5:$I$36</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DD28-4003-8051-44724B534FEC}"/>
            </c:ext>
          </c:extLst>
        </c:ser>
        <c:dLbls>
          <c:showLegendKey val="0"/>
          <c:showVal val="0"/>
          <c:showCatName val="0"/>
          <c:showSerName val="0"/>
          <c:showPercent val="0"/>
          <c:showBubbleSize val="0"/>
        </c:dLbls>
        <c:axId val="1431154464"/>
        <c:axId val="1431154944"/>
      </c:areaChart>
      <c:catAx>
        <c:axId val="1431154464"/>
        <c:scaling>
          <c:orientation val="minMax"/>
        </c:scaling>
        <c:delete val="1"/>
        <c:axPos val="b"/>
        <c:numFmt formatCode="General" sourceLinked="1"/>
        <c:majorTickMark val="out"/>
        <c:minorTickMark val="none"/>
        <c:tickLblPos val="nextTo"/>
        <c:crossAx val="1431154944"/>
        <c:crosses val="autoZero"/>
        <c:auto val="1"/>
        <c:lblAlgn val="ctr"/>
        <c:lblOffset val="100"/>
        <c:noMultiLvlLbl val="0"/>
      </c:catAx>
      <c:valAx>
        <c:axId val="1431154944"/>
        <c:scaling>
          <c:orientation val="minMax"/>
        </c:scaling>
        <c:delete val="1"/>
        <c:axPos val="l"/>
        <c:numFmt formatCode="0.00" sourceLinked="1"/>
        <c:majorTickMark val="none"/>
        <c:minorTickMark val="none"/>
        <c:tickLblPos val="nextTo"/>
        <c:crossAx val="14311544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Reports!PivotTable7</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C38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215963045563597"/>
          <c:w val="1"/>
          <c:h val="0.89784036954436408"/>
        </c:manualLayout>
      </c:layout>
      <c:areaChart>
        <c:grouping val="standard"/>
        <c:varyColors val="0"/>
        <c:ser>
          <c:idx val="0"/>
          <c:order val="0"/>
          <c:tx>
            <c:strRef>
              <c:f>'Pivot Reports'!$M$4</c:f>
              <c:strCache>
                <c:ptCount val="1"/>
                <c:pt idx="0">
                  <c:v>Total</c:v>
                </c:pt>
              </c:strCache>
            </c:strRef>
          </c:tx>
          <c:spPr>
            <a:solidFill>
              <a:srgbClr val="0C385C"/>
            </a:solidFill>
            <a:ln>
              <a:noFill/>
            </a:ln>
            <a:effectLst/>
          </c:spPr>
          <c:cat>
            <c:strRef>
              <c:f>'Pivot Reports'!$L$5:$L$36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Reports'!$M$5:$M$36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226F-49E7-8015-0A9EB6FC0141}"/>
            </c:ext>
          </c:extLst>
        </c:ser>
        <c:dLbls>
          <c:showLegendKey val="0"/>
          <c:showVal val="0"/>
          <c:showCatName val="0"/>
          <c:showSerName val="0"/>
          <c:showPercent val="0"/>
          <c:showBubbleSize val="0"/>
        </c:dLbls>
        <c:axId val="1672887952"/>
        <c:axId val="1672903792"/>
      </c:areaChart>
      <c:catAx>
        <c:axId val="1672887952"/>
        <c:scaling>
          <c:orientation val="minMax"/>
        </c:scaling>
        <c:delete val="1"/>
        <c:axPos val="b"/>
        <c:numFmt formatCode="General" sourceLinked="1"/>
        <c:majorTickMark val="out"/>
        <c:minorTickMark val="none"/>
        <c:tickLblPos val="nextTo"/>
        <c:crossAx val="1672903792"/>
        <c:crosses val="autoZero"/>
        <c:auto val="1"/>
        <c:lblAlgn val="ctr"/>
        <c:lblOffset val="100"/>
        <c:noMultiLvlLbl val="0"/>
      </c:catAx>
      <c:valAx>
        <c:axId val="1672903792"/>
        <c:scaling>
          <c:orientation val="minMax"/>
        </c:scaling>
        <c:delete val="1"/>
        <c:axPos val="l"/>
        <c:numFmt formatCode="0.00" sourceLinked="1"/>
        <c:majorTickMark val="none"/>
        <c:minorTickMark val="none"/>
        <c:tickLblPos val="nextTo"/>
        <c:crossAx val="16728879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Reports!PivotTable8</c:name>
    <c:fmtId val="15"/>
  </c:pivotSource>
  <c:chart>
    <c:autoTitleDeleted val="1"/>
    <c:pivotFmts>
      <c:pivotFmt>
        <c:idx val="0"/>
        <c:spPr>
          <a:solidFill>
            <a:srgbClr val="0C38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C38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C38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C38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C38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31302903460601E-2"/>
          <c:y val="0.10459601007775444"/>
          <c:w val="0.94937394193078795"/>
          <c:h val="0.75763824155913195"/>
        </c:manualLayout>
      </c:layout>
      <c:barChart>
        <c:barDir val="col"/>
        <c:grouping val="clustered"/>
        <c:varyColors val="0"/>
        <c:ser>
          <c:idx val="0"/>
          <c:order val="0"/>
          <c:tx>
            <c:strRef>
              <c:f>'Pivot Reports'!$B$60</c:f>
              <c:strCache>
                <c:ptCount val="1"/>
                <c:pt idx="0">
                  <c:v>Total</c:v>
                </c:pt>
              </c:strCache>
            </c:strRef>
          </c:tx>
          <c:spPr>
            <a:solidFill>
              <a:srgbClr val="0C385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Reports'!$A$61:$A$69</c:f>
              <c:strCache>
                <c:ptCount val="8"/>
                <c:pt idx="0">
                  <c:v>0-09</c:v>
                </c:pt>
                <c:pt idx="1">
                  <c:v>10-19</c:v>
                </c:pt>
                <c:pt idx="2">
                  <c:v>20-29</c:v>
                </c:pt>
                <c:pt idx="3">
                  <c:v>30-39</c:v>
                </c:pt>
                <c:pt idx="4">
                  <c:v>40-49</c:v>
                </c:pt>
                <c:pt idx="5">
                  <c:v>50-59</c:v>
                </c:pt>
                <c:pt idx="6">
                  <c:v>60-69</c:v>
                </c:pt>
                <c:pt idx="7">
                  <c:v>70-79</c:v>
                </c:pt>
              </c:strCache>
            </c:strRef>
          </c:cat>
          <c:val>
            <c:numRef>
              <c:f>'Pivot Reports'!$B$61:$B$69</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5448-459A-84B2-EE5BF11F792A}"/>
            </c:ext>
          </c:extLst>
        </c:ser>
        <c:dLbls>
          <c:showLegendKey val="0"/>
          <c:showVal val="0"/>
          <c:showCatName val="0"/>
          <c:showSerName val="0"/>
          <c:showPercent val="0"/>
          <c:showBubbleSize val="0"/>
        </c:dLbls>
        <c:gapWidth val="179"/>
        <c:overlap val="-27"/>
        <c:axId val="401067056"/>
        <c:axId val="401062256"/>
      </c:barChart>
      <c:catAx>
        <c:axId val="4010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401062256"/>
        <c:crosses val="autoZero"/>
        <c:auto val="1"/>
        <c:lblAlgn val="ctr"/>
        <c:lblOffset val="100"/>
        <c:noMultiLvlLbl val="0"/>
      </c:catAx>
      <c:valAx>
        <c:axId val="401062256"/>
        <c:scaling>
          <c:orientation val="minMax"/>
        </c:scaling>
        <c:delete val="1"/>
        <c:axPos val="l"/>
        <c:numFmt formatCode="0" sourceLinked="1"/>
        <c:majorTickMark val="none"/>
        <c:minorTickMark val="none"/>
        <c:tickLblPos val="nextTo"/>
        <c:crossAx val="40106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Reports!PivotTable13</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38468560995093E-2"/>
          <c:y val="0.15686274509803921"/>
          <c:w val="0.93422030126668953"/>
          <c:h val="0.68392774432607684"/>
        </c:manualLayout>
      </c:layout>
      <c:areaChart>
        <c:grouping val="standard"/>
        <c:varyColors val="0"/>
        <c:ser>
          <c:idx val="0"/>
          <c:order val="0"/>
          <c:tx>
            <c:strRef>
              <c:f>'Pivot Reports'!$E$4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Reports'!$D$5:$D$36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Reports'!$E$5:$E$36</c:f>
              <c:numCache>
                <c:formatCode>0</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DB39-4859-AC66-4549CC2F9B1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71124176"/>
        <c:axId val="871110736"/>
      </c:areaChart>
      <c:catAx>
        <c:axId val="8711241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1110736"/>
        <c:crosses val="autoZero"/>
        <c:auto val="1"/>
        <c:lblAlgn val="ctr"/>
        <c:lblOffset val="100"/>
        <c:noMultiLvlLbl val="0"/>
      </c:catAx>
      <c:valAx>
        <c:axId val="871110736"/>
        <c:scaling>
          <c:orientation val="minMax"/>
        </c:scaling>
        <c:delete val="1"/>
        <c:axPos val="l"/>
        <c:numFmt formatCode="0" sourceLinked="1"/>
        <c:majorTickMark val="out"/>
        <c:minorTickMark val="none"/>
        <c:tickLblPos val="nextTo"/>
        <c:crossAx val="8711241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C385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Reports!PivotTable7</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13560194343556E-2"/>
          <c:y val="0.15773935482422768"/>
          <c:w val="0.94554252368097136"/>
          <c:h val="0.69732337306621939"/>
        </c:manualLayout>
      </c:layout>
      <c:areaChart>
        <c:grouping val="standard"/>
        <c:varyColors val="0"/>
        <c:ser>
          <c:idx val="0"/>
          <c:order val="0"/>
          <c:tx>
            <c:strRef>
              <c:f>'Pivot Reports'!$M$4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Reports'!$L$5:$L$36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Reports'!$M$5:$M$36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B3C0-4EB7-B5A5-2CC44077A43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77346704"/>
        <c:axId val="877347184"/>
      </c:areaChart>
      <c:catAx>
        <c:axId val="87734670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7347184"/>
        <c:crosses val="autoZero"/>
        <c:auto val="1"/>
        <c:lblAlgn val="ctr"/>
        <c:lblOffset val="100"/>
        <c:noMultiLvlLbl val="0"/>
      </c:catAx>
      <c:valAx>
        <c:axId val="877347184"/>
        <c:scaling>
          <c:orientation val="minMax"/>
        </c:scaling>
        <c:delete val="1"/>
        <c:axPos val="l"/>
        <c:numFmt formatCode="0.00" sourceLinked="1"/>
        <c:majorTickMark val="out"/>
        <c:minorTickMark val="none"/>
        <c:tickLblPos val="nextTo"/>
        <c:crossAx val="87734670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C385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(Recovered).xlsx]Pivot Reports!PivotTable7</c:name>
    <c:fmtId val="5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63976020951678E-2"/>
          <c:y val="0.14650557815528048"/>
          <c:w val="0.94946132821536577"/>
          <c:h val="0.6972354558270204"/>
        </c:manualLayout>
      </c:layout>
      <c:areaChart>
        <c:grouping val="standard"/>
        <c:varyColors val="0"/>
        <c:ser>
          <c:idx val="0"/>
          <c:order val="0"/>
          <c:tx>
            <c:strRef>
              <c:f>'Pivot Reports'!$M$4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Reports'!$L$5:$L$36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Reports'!$M$5:$M$36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DDFA-4B2F-9510-5D811027347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72887952"/>
        <c:axId val="1672903792"/>
      </c:areaChart>
      <c:catAx>
        <c:axId val="167288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72903792"/>
        <c:crosses val="autoZero"/>
        <c:auto val="1"/>
        <c:lblAlgn val="ctr"/>
        <c:lblOffset val="100"/>
        <c:noMultiLvlLbl val="0"/>
      </c:catAx>
      <c:valAx>
        <c:axId val="1672903792"/>
        <c:scaling>
          <c:orientation val="minMax"/>
        </c:scaling>
        <c:delete val="1"/>
        <c:axPos val="l"/>
        <c:numFmt formatCode="0.00" sourceLinked="1"/>
        <c:majorTickMark val="out"/>
        <c:minorTickMark val="none"/>
        <c:tickLblPos val="nextTo"/>
        <c:crossAx val="16728879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C385C"/>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hyperlink" Target="#'Satisfaction score daily trends'!A1"/><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chart" Target="../charts/chart6.xml"/><Relationship Id="rId2" Type="http://schemas.openxmlformats.org/officeDocument/2006/relationships/chart" Target="../charts/chart2.xml"/><Relationship Id="rId16" Type="http://schemas.openxmlformats.org/officeDocument/2006/relationships/image" Target="../media/image6.emf"/><Relationship Id="rId1" Type="http://schemas.openxmlformats.org/officeDocument/2006/relationships/image" Target="../media/image1.png"/><Relationship Id="rId6" Type="http://schemas.openxmlformats.org/officeDocument/2006/relationships/image" Target="../media/image3.svg"/><Relationship Id="rId11" Type="http://schemas.openxmlformats.org/officeDocument/2006/relationships/hyperlink" Target="#'Average Wait Time Daily Tren'!A1"/><Relationship Id="rId5" Type="http://schemas.openxmlformats.org/officeDocument/2006/relationships/image" Target="../media/image2.png"/><Relationship Id="rId15" Type="http://schemas.openxmlformats.org/officeDocument/2006/relationships/chart" Target="../charts/chart8.xml"/><Relationship Id="rId10"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Daily ER No. of Patients'!A1"/><Relationship Id="rId1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8.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8.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875078</xdr:colOff>
      <xdr:row>53</xdr:row>
      <xdr:rowOff>170962</xdr:rowOff>
    </xdr:from>
    <xdr:to>
      <xdr:col>4</xdr:col>
      <xdr:colOff>4720</xdr:colOff>
      <xdr:row>55</xdr:row>
      <xdr:rowOff>154681</xdr:rowOff>
    </xdr:to>
    <xdr:graphicFrame macro="">
      <xdr:nvGraphicFramePr>
        <xdr:cNvPr id="8" name="Chart 7">
          <a:extLst>
            <a:ext uri="{FF2B5EF4-FFF2-40B4-BE49-F238E27FC236}">
              <a16:creationId xmlns:a16="http://schemas.microsoft.com/office/drawing/2014/main" id="{65EC5DD4-3D91-1AA6-2972-2FF14379A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35093</xdr:colOff>
      <xdr:row>0</xdr:row>
      <xdr:rowOff>40106</xdr:rowOff>
    </xdr:from>
    <xdr:to>
      <xdr:col>7</xdr:col>
      <xdr:colOff>606592</xdr:colOff>
      <xdr:row>2</xdr:row>
      <xdr:rowOff>166933</xdr:rowOff>
    </xdr:to>
    <xdr:sp macro="" textlink="">
      <xdr:nvSpPr>
        <xdr:cNvPr id="4" name="Rectangle: Rounded Corners 3">
          <a:extLst>
            <a:ext uri="{FF2B5EF4-FFF2-40B4-BE49-F238E27FC236}">
              <a16:creationId xmlns:a16="http://schemas.microsoft.com/office/drawing/2014/main" id="{C882D19A-B173-4E25-9A0F-E4578D16934A}"/>
            </a:ext>
          </a:extLst>
        </xdr:cNvPr>
        <xdr:cNvSpPr/>
      </xdr:nvSpPr>
      <xdr:spPr>
        <a:xfrm>
          <a:off x="35093" y="40106"/>
          <a:ext cx="4821114" cy="50364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345495</xdr:colOff>
      <xdr:row>6</xdr:row>
      <xdr:rowOff>181662</xdr:rowOff>
    </xdr:from>
    <xdr:to>
      <xdr:col>14</xdr:col>
      <xdr:colOff>473808</xdr:colOff>
      <xdr:row>18</xdr:row>
      <xdr:rowOff>90222</xdr:rowOff>
    </xdr:to>
    <xdr:sp macro="" textlink="">
      <xdr:nvSpPr>
        <xdr:cNvPr id="10" name="Rectangle: Rounded Corners 9">
          <a:extLst>
            <a:ext uri="{FF2B5EF4-FFF2-40B4-BE49-F238E27FC236}">
              <a16:creationId xmlns:a16="http://schemas.microsoft.com/office/drawing/2014/main" id="{01E586FE-ECCD-4D64-ABCD-EA91661458A3}"/>
            </a:ext>
          </a:extLst>
        </xdr:cNvPr>
        <xdr:cNvSpPr/>
      </xdr:nvSpPr>
      <xdr:spPr>
        <a:xfrm>
          <a:off x="6452701" y="1324662"/>
          <a:ext cx="2571195" cy="2194560"/>
        </a:xfrm>
        <a:prstGeom prst="roundRect">
          <a:avLst>
            <a:gd name="adj" fmla="val 492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52948</xdr:colOff>
      <xdr:row>3</xdr:row>
      <xdr:rowOff>11067</xdr:rowOff>
    </xdr:from>
    <xdr:to>
      <xdr:col>1</xdr:col>
      <xdr:colOff>276765</xdr:colOff>
      <xdr:row>18</xdr:row>
      <xdr:rowOff>81364</xdr:rowOff>
    </xdr:to>
    <xdr:sp macro="" textlink="">
      <xdr:nvSpPr>
        <xdr:cNvPr id="11" name="Rectangle: Rounded Corners 10">
          <a:extLst>
            <a:ext uri="{FF2B5EF4-FFF2-40B4-BE49-F238E27FC236}">
              <a16:creationId xmlns:a16="http://schemas.microsoft.com/office/drawing/2014/main" id="{2B49469F-D832-4E28-BE5D-C76ACA6AE5EC}"/>
            </a:ext>
          </a:extLst>
        </xdr:cNvPr>
        <xdr:cNvSpPr/>
      </xdr:nvSpPr>
      <xdr:spPr>
        <a:xfrm>
          <a:off x="52948" y="582567"/>
          <a:ext cx="834538" cy="2927797"/>
        </a:xfrm>
        <a:prstGeom prst="roundRect">
          <a:avLst>
            <a:gd name="adj" fmla="val 1062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25470</xdr:colOff>
      <xdr:row>0</xdr:row>
      <xdr:rowOff>35393</xdr:rowOff>
    </xdr:from>
    <xdr:to>
      <xdr:col>10</xdr:col>
      <xdr:colOff>294588</xdr:colOff>
      <xdr:row>2</xdr:row>
      <xdr:rowOff>162220</xdr:rowOff>
    </xdr:to>
    <xdr:sp macro="" textlink="">
      <xdr:nvSpPr>
        <xdr:cNvPr id="43" name="Rectangle: Rounded Corners 42">
          <a:extLst>
            <a:ext uri="{FF2B5EF4-FFF2-40B4-BE49-F238E27FC236}">
              <a16:creationId xmlns:a16="http://schemas.microsoft.com/office/drawing/2014/main" id="{0326EBEE-0052-4FB0-8A8A-EE11DA7CD95B}"/>
            </a:ext>
          </a:extLst>
        </xdr:cNvPr>
        <xdr:cNvSpPr/>
      </xdr:nvSpPr>
      <xdr:spPr>
        <a:xfrm>
          <a:off x="4895985" y="35393"/>
          <a:ext cx="1486747" cy="50979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417099</xdr:colOff>
      <xdr:row>0</xdr:row>
      <xdr:rowOff>43085</xdr:rowOff>
    </xdr:from>
    <xdr:to>
      <xdr:col>14</xdr:col>
      <xdr:colOff>464039</xdr:colOff>
      <xdr:row>6</xdr:row>
      <xdr:rowOff>153178</xdr:rowOff>
    </xdr:to>
    <xdr:sp macro="" textlink="">
      <xdr:nvSpPr>
        <xdr:cNvPr id="46" name="Rectangle: Rounded Corners 45">
          <a:extLst>
            <a:ext uri="{FF2B5EF4-FFF2-40B4-BE49-F238E27FC236}">
              <a16:creationId xmlns:a16="http://schemas.microsoft.com/office/drawing/2014/main" id="{C8105891-8731-44DB-B813-A82D02343C1D}"/>
            </a:ext>
          </a:extLst>
        </xdr:cNvPr>
        <xdr:cNvSpPr/>
      </xdr:nvSpPr>
      <xdr:spPr>
        <a:xfrm>
          <a:off x="7745746" y="43085"/>
          <a:ext cx="1268381" cy="1253093"/>
        </a:xfrm>
        <a:prstGeom prst="roundRect">
          <a:avLst>
            <a:gd name="adj" fmla="val 8868"/>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xdr:col>
      <xdr:colOff>361462</xdr:colOff>
      <xdr:row>0</xdr:row>
      <xdr:rowOff>53731</xdr:rowOff>
    </xdr:from>
    <xdr:to>
      <xdr:col>7</xdr:col>
      <xdr:colOff>87924</xdr:colOff>
      <xdr:row>2</xdr:row>
      <xdr:rowOff>29308</xdr:rowOff>
    </xdr:to>
    <xdr:sp macro="" textlink="">
      <xdr:nvSpPr>
        <xdr:cNvPr id="47" name="TextBox 46">
          <a:extLst>
            <a:ext uri="{FF2B5EF4-FFF2-40B4-BE49-F238E27FC236}">
              <a16:creationId xmlns:a16="http://schemas.microsoft.com/office/drawing/2014/main" id="{830D01B7-7909-4064-A8F4-39C5F2B42D23}"/>
            </a:ext>
          </a:extLst>
        </xdr:cNvPr>
        <xdr:cNvSpPr txBox="1"/>
      </xdr:nvSpPr>
      <xdr:spPr>
        <a:xfrm>
          <a:off x="972039" y="53731"/>
          <a:ext cx="3389923" cy="356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700"/>
            <a:t>Hospital Emergency</a:t>
          </a:r>
          <a:r>
            <a:rPr lang="en-US" sz="1700" baseline="0"/>
            <a:t> Room Dashboard</a:t>
          </a:r>
          <a:endParaRPr lang="en-US" sz="1700"/>
        </a:p>
      </xdr:txBody>
    </xdr:sp>
    <xdr:clientData/>
  </xdr:twoCellAnchor>
  <xdr:twoCellAnchor editAs="oneCell">
    <xdr:from>
      <xdr:col>0</xdr:col>
      <xdr:colOff>0</xdr:colOff>
      <xdr:row>0</xdr:row>
      <xdr:rowOff>9770</xdr:rowOff>
    </xdr:from>
    <xdr:to>
      <xdr:col>1</xdr:col>
      <xdr:colOff>356577</xdr:colOff>
      <xdr:row>3</xdr:row>
      <xdr:rowOff>34193</xdr:rowOff>
    </xdr:to>
    <xdr:pic>
      <xdr:nvPicPr>
        <xdr:cNvPr id="49" name="Picture 48">
          <a:extLst>
            <a:ext uri="{FF2B5EF4-FFF2-40B4-BE49-F238E27FC236}">
              <a16:creationId xmlns:a16="http://schemas.microsoft.com/office/drawing/2014/main" id="{97E72E2A-D25A-4711-81D0-B04CAD46807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204" t="2174" r="-510" b="-2174"/>
        <a:stretch/>
      </xdr:blipFill>
      <xdr:spPr>
        <a:xfrm>
          <a:off x="0" y="9770"/>
          <a:ext cx="963665" cy="589643"/>
        </a:xfrm>
        <a:prstGeom prst="rect">
          <a:avLst/>
        </a:prstGeom>
      </xdr:spPr>
    </xdr:pic>
    <xdr:clientData/>
  </xdr:twoCellAnchor>
  <xdr:twoCellAnchor editAs="absolute">
    <xdr:from>
      <xdr:col>3</xdr:col>
      <xdr:colOff>390769</xdr:colOff>
      <xdr:row>1</xdr:row>
      <xdr:rowOff>127000</xdr:rowOff>
    </xdr:from>
    <xdr:to>
      <xdr:col>5</xdr:col>
      <xdr:colOff>273539</xdr:colOff>
      <xdr:row>2</xdr:row>
      <xdr:rowOff>151424</xdr:rowOff>
    </xdr:to>
    <xdr:sp macro="" textlink="">
      <xdr:nvSpPr>
        <xdr:cNvPr id="51" name="TextBox 50">
          <a:extLst>
            <a:ext uri="{FF2B5EF4-FFF2-40B4-BE49-F238E27FC236}">
              <a16:creationId xmlns:a16="http://schemas.microsoft.com/office/drawing/2014/main" id="{6E1C6277-6F8B-4E27-A2C1-4F234A5428D8}"/>
            </a:ext>
          </a:extLst>
        </xdr:cNvPr>
        <xdr:cNvSpPr txBox="1"/>
      </xdr:nvSpPr>
      <xdr:spPr>
        <a:xfrm>
          <a:off x="2222500" y="317500"/>
          <a:ext cx="1103924" cy="21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a:t>Monthly Report</a:t>
          </a:r>
        </a:p>
      </xdr:txBody>
    </xdr:sp>
    <xdr:clientData/>
  </xdr:twoCellAnchor>
  <xdr:twoCellAnchor editAs="absolute">
    <xdr:from>
      <xdr:col>10</xdr:col>
      <xdr:colOff>346808</xdr:colOff>
      <xdr:row>0</xdr:row>
      <xdr:rowOff>43962</xdr:rowOff>
    </xdr:from>
    <xdr:to>
      <xdr:col>12</xdr:col>
      <xdr:colOff>380072</xdr:colOff>
      <xdr:row>6</xdr:row>
      <xdr:rowOff>154055</xdr:rowOff>
    </xdr:to>
    <xdr:sp macro="" textlink="">
      <xdr:nvSpPr>
        <xdr:cNvPr id="29" name="Rectangle: Rounded Corners 28">
          <a:extLst>
            <a:ext uri="{FF2B5EF4-FFF2-40B4-BE49-F238E27FC236}">
              <a16:creationId xmlns:a16="http://schemas.microsoft.com/office/drawing/2014/main" id="{98F03D9F-8BFA-4BA8-9086-32866A0906BE}"/>
            </a:ext>
          </a:extLst>
        </xdr:cNvPr>
        <xdr:cNvSpPr/>
      </xdr:nvSpPr>
      <xdr:spPr>
        <a:xfrm>
          <a:off x="6454014" y="43962"/>
          <a:ext cx="1254705" cy="1253093"/>
        </a:xfrm>
        <a:prstGeom prst="roundRect">
          <a:avLst>
            <a:gd name="adj" fmla="val 980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10</xdr:col>
      <xdr:colOff>327269</xdr:colOff>
      <xdr:row>0</xdr:row>
      <xdr:rowOff>53730</xdr:rowOff>
    </xdr:from>
    <xdr:to>
      <xdr:col>12</xdr:col>
      <xdr:colOff>371230</xdr:colOff>
      <xdr:row>6</xdr:row>
      <xdr:rowOff>24423</xdr:rowOff>
    </xdr:to>
    <xdr:graphicFrame macro="">
      <xdr:nvGraphicFramePr>
        <xdr:cNvPr id="33" name="Chart 32">
          <a:extLst>
            <a:ext uri="{FF2B5EF4-FFF2-40B4-BE49-F238E27FC236}">
              <a16:creationId xmlns:a16="http://schemas.microsoft.com/office/drawing/2014/main" id="{0F8568A7-48AB-4716-A937-FC435E49F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405422</xdr:colOff>
      <xdr:row>5</xdr:row>
      <xdr:rowOff>166079</xdr:rowOff>
    </xdr:from>
    <xdr:to>
      <xdr:col>12</xdr:col>
      <xdr:colOff>317500</xdr:colOff>
      <xdr:row>6</xdr:row>
      <xdr:rowOff>141655</xdr:rowOff>
    </xdr:to>
    <xdr:sp macro="" textlink="">
      <xdr:nvSpPr>
        <xdr:cNvPr id="34" name="TextBox 33">
          <a:extLst>
            <a:ext uri="{FF2B5EF4-FFF2-40B4-BE49-F238E27FC236}">
              <a16:creationId xmlns:a16="http://schemas.microsoft.com/office/drawing/2014/main" id="{19D50337-BE16-4DDB-BC11-44AEF9B0CC45}"/>
            </a:ext>
          </a:extLst>
        </xdr:cNvPr>
        <xdr:cNvSpPr txBox="1"/>
      </xdr:nvSpPr>
      <xdr:spPr>
        <a:xfrm>
          <a:off x="6511191" y="1118579"/>
          <a:ext cx="1133232" cy="166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700" b="1"/>
            <a:t>Patients</a:t>
          </a:r>
          <a:r>
            <a:rPr lang="en-US" sz="700" b="1" baseline="0"/>
            <a:t> attended within Time</a:t>
          </a:r>
          <a:endParaRPr lang="en-US" sz="700" b="1"/>
        </a:p>
      </xdr:txBody>
    </xdr:sp>
    <xdr:clientData/>
  </xdr:twoCellAnchor>
  <xdr:twoCellAnchor>
    <xdr:from>
      <xdr:col>12</xdr:col>
      <xdr:colOff>411892</xdr:colOff>
      <xdr:row>0</xdr:row>
      <xdr:rowOff>43962</xdr:rowOff>
    </xdr:from>
    <xdr:to>
      <xdr:col>14</xdr:col>
      <xdr:colOff>459154</xdr:colOff>
      <xdr:row>6</xdr:row>
      <xdr:rowOff>145878</xdr:rowOff>
    </xdr:to>
    <xdr:graphicFrame macro="">
      <xdr:nvGraphicFramePr>
        <xdr:cNvPr id="35" name="Chart 34">
          <a:extLst>
            <a:ext uri="{FF2B5EF4-FFF2-40B4-BE49-F238E27FC236}">
              <a16:creationId xmlns:a16="http://schemas.microsoft.com/office/drawing/2014/main" id="{C5014467-EE5B-4D78-8AB0-1C1E91809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345495</xdr:colOff>
      <xdr:row>7</xdr:row>
      <xdr:rowOff>0</xdr:rowOff>
    </xdr:from>
    <xdr:to>
      <xdr:col>14</xdr:col>
      <xdr:colOff>488460</xdr:colOff>
      <xdr:row>17</xdr:row>
      <xdr:rowOff>83038</xdr:rowOff>
    </xdr:to>
    <xdr:graphicFrame macro="">
      <xdr:nvGraphicFramePr>
        <xdr:cNvPr id="36" name="Chart 35">
          <a:extLst>
            <a:ext uri="{FF2B5EF4-FFF2-40B4-BE49-F238E27FC236}">
              <a16:creationId xmlns:a16="http://schemas.microsoft.com/office/drawing/2014/main" id="{B1D3675A-6715-4B47-BF5C-00DF7200C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581269</xdr:colOff>
      <xdr:row>17</xdr:row>
      <xdr:rowOff>35122</xdr:rowOff>
    </xdr:from>
    <xdr:to>
      <xdr:col>14</xdr:col>
      <xdr:colOff>214923</xdr:colOff>
      <xdr:row>18</xdr:row>
      <xdr:rowOff>29307</xdr:rowOff>
    </xdr:to>
    <xdr:sp macro="" textlink="">
      <xdr:nvSpPr>
        <xdr:cNvPr id="39" name="TextBox 33">
          <a:extLst>
            <a:ext uri="{FF2B5EF4-FFF2-40B4-BE49-F238E27FC236}">
              <a16:creationId xmlns:a16="http://schemas.microsoft.com/office/drawing/2014/main" id="{2CA8F5CE-1750-4850-8876-7B65C16B4450}"/>
            </a:ext>
          </a:extLst>
        </xdr:cNvPr>
        <xdr:cNvSpPr txBox="1"/>
      </xdr:nvSpPr>
      <xdr:spPr>
        <a:xfrm>
          <a:off x="6687038" y="3273622"/>
          <a:ext cx="2075962" cy="184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800" b="1"/>
            <a:t>No.</a:t>
          </a:r>
          <a:r>
            <a:rPr lang="en-US" sz="800" b="1" baseline="0"/>
            <a:t> of Patient by department Referral</a:t>
          </a:r>
          <a:endParaRPr lang="en-US" sz="800" b="1"/>
        </a:p>
      </xdr:txBody>
    </xdr:sp>
    <xdr:clientData/>
  </xdr:twoCellAnchor>
  <xdr:twoCellAnchor editAs="oneCell">
    <xdr:from>
      <xdr:col>0</xdr:col>
      <xdr:colOff>106456</xdr:colOff>
      <xdr:row>3</xdr:row>
      <xdr:rowOff>123127</xdr:rowOff>
    </xdr:from>
    <xdr:to>
      <xdr:col>1</xdr:col>
      <xdr:colOff>224117</xdr:colOff>
      <xdr:row>18</xdr:row>
      <xdr:rowOff>5603</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809E6F54-3F37-483F-97FE-06C0CFBF11F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6456" y="694627"/>
              <a:ext cx="728382" cy="2739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291354</xdr:colOff>
      <xdr:row>3</xdr:row>
      <xdr:rowOff>5603</xdr:rowOff>
    </xdr:from>
    <xdr:to>
      <xdr:col>4</xdr:col>
      <xdr:colOff>263339</xdr:colOff>
      <xdr:row>7</xdr:row>
      <xdr:rowOff>100853</xdr:rowOff>
    </xdr:to>
    <xdr:sp macro="" textlink="">
      <xdr:nvSpPr>
        <xdr:cNvPr id="5" name="Rectangle: Rounded Corners 4">
          <a:extLst>
            <a:ext uri="{FF2B5EF4-FFF2-40B4-BE49-F238E27FC236}">
              <a16:creationId xmlns:a16="http://schemas.microsoft.com/office/drawing/2014/main" id="{08695D34-E9E8-24FE-1DE7-C47CFE58932F}"/>
            </a:ext>
          </a:extLst>
        </xdr:cNvPr>
        <xdr:cNvSpPr/>
      </xdr:nvSpPr>
      <xdr:spPr>
        <a:xfrm>
          <a:off x="902075" y="577103"/>
          <a:ext cx="1804146" cy="857250"/>
        </a:xfrm>
        <a:prstGeom prst="roundRect">
          <a:avLst>
            <a:gd name="adj" fmla="val 294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532280</xdr:colOff>
      <xdr:row>3</xdr:row>
      <xdr:rowOff>11207</xdr:rowOff>
    </xdr:from>
    <xdr:to>
      <xdr:col>4</xdr:col>
      <xdr:colOff>229434</xdr:colOff>
      <xdr:row>4</xdr:row>
      <xdr:rowOff>128438</xdr:rowOff>
    </xdr:to>
    <xdr:pic>
      <xdr:nvPicPr>
        <xdr:cNvPr id="13" name="Graphic 12">
          <a:extLst>
            <a:ext uri="{FF2B5EF4-FFF2-40B4-BE49-F238E27FC236}">
              <a16:creationId xmlns:a16="http://schemas.microsoft.com/office/drawing/2014/main" id="{3D4FCA3C-2AEC-4DED-82CA-946FBA84928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364442" y="582707"/>
          <a:ext cx="307874" cy="307731"/>
        </a:xfrm>
        <a:prstGeom prst="rect">
          <a:avLst/>
        </a:prstGeom>
      </xdr:spPr>
    </xdr:pic>
    <xdr:clientData/>
  </xdr:twoCellAnchor>
  <xdr:twoCellAnchor editAs="absolute">
    <xdr:from>
      <xdr:col>2</xdr:col>
      <xdr:colOff>112060</xdr:colOff>
      <xdr:row>4</xdr:row>
      <xdr:rowOff>162485</xdr:rowOff>
    </xdr:from>
    <xdr:to>
      <xdr:col>3</xdr:col>
      <xdr:colOff>336176</xdr:colOff>
      <xdr:row>5</xdr:row>
      <xdr:rowOff>128868</xdr:rowOff>
    </xdr:to>
    <xdr:sp macro="" textlink="">
      <xdr:nvSpPr>
        <xdr:cNvPr id="16" name="TextBox 15">
          <a:extLst>
            <a:ext uri="{FF2B5EF4-FFF2-40B4-BE49-F238E27FC236}">
              <a16:creationId xmlns:a16="http://schemas.microsoft.com/office/drawing/2014/main" id="{1560E169-D0CE-4B17-8B3F-E8CA72475C77}"/>
            </a:ext>
          </a:extLst>
        </xdr:cNvPr>
        <xdr:cNvSpPr txBox="1"/>
      </xdr:nvSpPr>
      <xdr:spPr>
        <a:xfrm>
          <a:off x="1333501" y="924485"/>
          <a:ext cx="834837" cy="15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t>No.</a:t>
          </a:r>
          <a:r>
            <a:rPr lang="en-US" sz="800" baseline="0"/>
            <a:t> of Patient</a:t>
          </a:r>
          <a:endParaRPr lang="en-US" sz="800"/>
        </a:p>
      </xdr:txBody>
    </xdr:sp>
    <xdr:clientData/>
  </xdr:twoCellAnchor>
  <xdr:twoCellAnchor>
    <xdr:from>
      <xdr:col>4</xdr:col>
      <xdr:colOff>320489</xdr:colOff>
      <xdr:row>3</xdr:row>
      <xdr:rowOff>1121</xdr:rowOff>
    </xdr:from>
    <xdr:to>
      <xdr:col>7</xdr:col>
      <xdr:colOff>292473</xdr:colOff>
      <xdr:row>7</xdr:row>
      <xdr:rowOff>96371</xdr:rowOff>
    </xdr:to>
    <xdr:sp macro="" textlink="">
      <xdr:nvSpPr>
        <xdr:cNvPr id="17" name="Rectangle: Rounded Corners 16">
          <a:extLst>
            <a:ext uri="{FF2B5EF4-FFF2-40B4-BE49-F238E27FC236}">
              <a16:creationId xmlns:a16="http://schemas.microsoft.com/office/drawing/2014/main" id="{517E2D3F-0331-48E0-8C52-D659FB964D72}"/>
            </a:ext>
          </a:extLst>
        </xdr:cNvPr>
        <xdr:cNvSpPr/>
      </xdr:nvSpPr>
      <xdr:spPr>
        <a:xfrm>
          <a:off x="2763371" y="572621"/>
          <a:ext cx="1804146" cy="857250"/>
        </a:xfrm>
        <a:prstGeom prst="roundRect">
          <a:avLst>
            <a:gd name="adj" fmla="val 3595"/>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338418</xdr:colOff>
      <xdr:row>3</xdr:row>
      <xdr:rowOff>7843</xdr:rowOff>
    </xdr:from>
    <xdr:to>
      <xdr:col>10</xdr:col>
      <xdr:colOff>310402</xdr:colOff>
      <xdr:row>7</xdr:row>
      <xdr:rowOff>103093</xdr:rowOff>
    </xdr:to>
    <xdr:sp macro="" textlink="">
      <xdr:nvSpPr>
        <xdr:cNvPr id="18" name="Rectangle: Rounded Corners 17">
          <a:extLst>
            <a:ext uri="{FF2B5EF4-FFF2-40B4-BE49-F238E27FC236}">
              <a16:creationId xmlns:a16="http://schemas.microsoft.com/office/drawing/2014/main" id="{F9CFCAA2-BBFD-43AC-8DD2-FB28D054F757}"/>
            </a:ext>
          </a:extLst>
        </xdr:cNvPr>
        <xdr:cNvSpPr/>
      </xdr:nvSpPr>
      <xdr:spPr>
        <a:xfrm>
          <a:off x="4613462" y="579343"/>
          <a:ext cx="1804146" cy="857250"/>
        </a:xfrm>
        <a:prstGeom prst="roundRect">
          <a:avLst>
            <a:gd name="adj" fmla="val 2942"/>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331693</xdr:colOff>
      <xdr:row>4</xdr:row>
      <xdr:rowOff>34739</xdr:rowOff>
    </xdr:from>
    <xdr:to>
      <xdr:col>6</xdr:col>
      <xdr:colOff>280147</xdr:colOff>
      <xdr:row>5</xdr:row>
      <xdr:rowOff>5603</xdr:rowOff>
    </xdr:to>
    <xdr:sp macro="" textlink="'Pivot Reports'!A10">
      <xdr:nvSpPr>
        <xdr:cNvPr id="19" name="TextBox 18">
          <a:extLst>
            <a:ext uri="{FF2B5EF4-FFF2-40B4-BE49-F238E27FC236}">
              <a16:creationId xmlns:a16="http://schemas.microsoft.com/office/drawing/2014/main" id="{6DB8DF14-EE16-4F9B-B027-50C01AFB6D3A}"/>
            </a:ext>
          </a:extLst>
        </xdr:cNvPr>
        <xdr:cNvSpPr txBox="1"/>
      </xdr:nvSpPr>
      <xdr:spPr>
        <a:xfrm>
          <a:off x="3385296" y="796739"/>
          <a:ext cx="559175" cy="161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272394F-D5E3-4E96-8B04-F815F7B020E8}" type="TxLink">
            <a:rPr lang="en-US" sz="1400" b="0" i="0" u="none" strike="noStrike">
              <a:solidFill>
                <a:srgbClr val="000000"/>
              </a:solidFill>
              <a:latin typeface="Calibri"/>
              <a:ea typeface="Calibri"/>
              <a:cs typeface="Calibri"/>
            </a:rPr>
            <a:pPr algn="ctr"/>
            <a:t>35.88</a:t>
          </a:fld>
          <a:endParaRPr lang="en-US" sz="1400"/>
        </a:p>
      </xdr:txBody>
    </xdr:sp>
    <xdr:clientData/>
  </xdr:twoCellAnchor>
  <xdr:twoCellAnchor editAs="oneCell">
    <xdr:from>
      <xdr:col>6</xdr:col>
      <xdr:colOff>578224</xdr:colOff>
      <xdr:row>3</xdr:row>
      <xdr:rowOff>45945</xdr:rowOff>
    </xdr:from>
    <xdr:to>
      <xdr:col>7</xdr:col>
      <xdr:colOff>221650</xdr:colOff>
      <xdr:row>4</xdr:row>
      <xdr:rowOff>94790</xdr:rowOff>
    </xdr:to>
    <xdr:pic>
      <xdr:nvPicPr>
        <xdr:cNvPr id="20" name="Picture 19">
          <a:extLst>
            <a:ext uri="{FF2B5EF4-FFF2-40B4-BE49-F238E27FC236}">
              <a16:creationId xmlns:a16="http://schemas.microsoft.com/office/drawing/2014/main" id="{1BB59CE9-9276-4F49-8C2E-17D7447CC30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242548" y="617445"/>
          <a:ext cx="254146" cy="239345"/>
        </a:xfrm>
        <a:prstGeom prst="rect">
          <a:avLst/>
        </a:prstGeom>
      </xdr:spPr>
    </xdr:pic>
    <xdr:clientData/>
  </xdr:twoCellAnchor>
  <xdr:twoCellAnchor editAs="absolute">
    <xdr:from>
      <xdr:col>5</xdr:col>
      <xdr:colOff>113179</xdr:colOff>
      <xdr:row>4</xdr:row>
      <xdr:rowOff>180417</xdr:rowOff>
    </xdr:from>
    <xdr:to>
      <xdr:col>6</xdr:col>
      <xdr:colOff>515470</xdr:colOff>
      <xdr:row>5</xdr:row>
      <xdr:rowOff>134470</xdr:rowOff>
    </xdr:to>
    <xdr:sp macro="" textlink="">
      <xdr:nvSpPr>
        <xdr:cNvPr id="21" name="TextBox 20">
          <a:extLst>
            <a:ext uri="{FF2B5EF4-FFF2-40B4-BE49-F238E27FC236}">
              <a16:creationId xmlns:a16="http://schemas.microsoft.com/office/drawing/2014/main" id="{AC5D99B1-3129-4F18-A20F-019A327D23F6}"/>
            </a:ext>
          </a:extLst>
        </xdr:cNvPr>
        <xdr:cNvSpPr txBox="1"/>
      </xdr:nvSpPr>
      <xdr:spPr>
        <a:xfrm>
          <a:off x="3166782" y="942417"/>
          <a:ext cx="1013012" cy="144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t>Average</a:t>
          </a:r>
          <a:r>
            <a:rPr lang="en-US" sz="800" baseline="0"/>
            <a:t> Wait Time</a:t>
          </a:r>
          <a:endParaRPr lang="en-US" sz="800"/>
        </a:p>
      </xdr:txBody>
    </xdr:sp>
    <xdr:clientData/>
  </xdr:twoCellAnchor>
  <xdr:twoCellAnchor editAs="oneCell">
    <xdr:from>
      <xdr:col>9</xdr:col>
      <xdr:colOff>551329</xdr:colOff>
      <xdr:row>3</xdr:row>
      <xdr:rowOff>52666</xdr:rowOff>
    </xdr:from>
    <xdr:to>
      <xdr:col>10</xdr:col>
      <xdr:colOff>231579</xdr:colOff>
      <xdr:row>4</xdr:row>
      <xdr:rowOff>125936</xdr:rowOff>
    </xdr:to>
    <xdr:pic>
      <xdr:nvPicPr>
        <xdr:cNvPr id="22" name="Picture 21">
          <a:extLst>
            <a:ext uri="{FF2B5EF4-FFF2-40B4-BE49-F238E27FC236}">
              <a16:creationId xmlns:a16="http://schemas.microsoft.com/office/drawing/2014/main" id="{F4085BCD-73EB-4264-8708-9BE5A8D44E5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047814" y="624166"/>
          <a:ext cx="290971" cy="263770"/>
        </a:xfrm>
        <a:prstGeom prst="rect">
          <a:avLst/>
        </a:prstGeom>
      </xdr:spPr>
    </xdr:pic>
    <xdr:clientData/>
  </xdr:twoCellAnchor>
  <xdr:twoCellAnchor editAs="absolute">
    <xdr:from>
      <xdr:col>8</xdr:col>
      <xdr:colOff>237564</xdr:colOff>
      <xdr:row>4</xdr:row>
      <xdr:rowOff>28015</xdr:rowOff>
    </xdr:from>
    <xdr:to>
      <xdr:col>9</xdr:col>
      <xdr:colOff>120335</xdr:colOff>
      <xdr:row>5</xdr:row>
      <xdr:rowOff>21061</xdr:rowOff>
    </xdr:to>
    <xdr:sp macro="" textlink="'Pivot Reports'!A14">
      <xdr:nvSpPr>
        <xdr:cNvPr id="24" name="TextBox 23">
          <a:extLst>
            <a:ext uri="{FF2B5EF4-FFF2-40B4-BE49-F238E27FC236}">
              <a16:creationId xmlns:a16="http://schemas.microsoft.com/office/drawing/2014/main" id="{6B58B2EC-BE0E-4950-B8BA-3104FC612268}"/>
            </a:ext>
          </a:extLst>
        </xdr:cNvPr>
        <xdr:cNvSpPr txBox="1"/>
      </xdr:nvSpPr>
      <xdr:spPr>
        <a:xfrm>
          <a:off x="5123329" y="790015"/>
          <a:ext cx="493491" cy="183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C915E00-D376-4C0A-BDAD-DB05B3AB6FF3}" type="TxLink">
            <a:rPr lang="en-US" sz="1400" b="0" i="0" u="none" strike="noStrike">
              <a:solidFill>
                <a:srgbClr val="000000"/>
              </a:solidFill>
              <a:latin typeface="Calibri"/>
              <a:ea typeface="Calibri"/>
              <a:cs typeface="Calibri"/>
            </a:rPr>
            <a:pPr algn="ctr"/>
            <a:t>5.33</a:t>
          </a:fld>
          <a:endParaRPr lang="en-US" sz="1400"/>
        </a:p>
      </xdr:txBody>
    </xdr:sp>
    <xdr:clientData/>
  </xdr:twoCellAnchor>
  <xdr:twoCellAnchor editAs="absolute">
    <xdr:from>
      <xdr:col>8</xdr:col>
      <xdr:colOff>16810</xdr:colOff>
      <xdr:row>5</xdr:row>
      <xdr:rowOff>5603</xdr:rowOff>
    </xdr:from>
    <xdr:to>
      <xdr:col>9</xdr:col>
      <xdr:colOff>459442</xdr:colOff>
      <xdr:row>5</xdr:row>
      <xdr:rowOff>140074</xdr:rowOff>
    </xdr:to>
    <xdr:sp macro="" textlink="">
      <xdr:nvSpPr>
        <xdr:cNvPr id="25" name="TextBox 24">
          <a:extLst>
            <a:ext uri="{FF2B5EF4-FFF2-40B4-BE49-F238E27FC236}">
              <a16:creationId xmlns:a16="http://schemas.microsoft.com/office/drawing/2014/main" id="{270DA31C-85D9-40B8-AE56-E490FCF4F68D}"/>
            </a:ext>
          </a:extLst>
        </xdr:cNvPr>
        <xdr:cNvSpPr txBox="1"/>
      </xdr:nvSpPr>
      <xdr:spPr>
        <a:xfrm>
          <a:off x="4902575" y="958103"/>
          <a:ext cx="1053352" cy="134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t>Satisfaction</a:t>
          </a:r>
          <a:r>
            <a:rPr lang="en-US" sz="800" baseline="0"/>
            <a:t> Score</a:t>
          </a:r>
          <a:endParaRPr lang="en-US" sz="800"/>
        </a:p>
      </xdr:txBody>
    </xdr:sp>
    <xdr:clientData/>
  </xdr:twoCellAnchor>
  <xdr:twoCellAnchor editAs="absolute">
    <xdr:from>
      <xdr:col>2</xdr:col>
      <xdr:colOff>319368</xdr:colOff>
      <xdr:row>4</xdr:row>
      <xdr:rowOff>11205</xdr:rowOff>
    </xdr:from>
    <xdr:to>
      <xdr:col>3</xdr:col>
      <xdr:colOff>202139</xdr:colOff>
      <xdr:row>5</xdr:row>
      <xdr:rowOff>7614</xdr:rowOff>
    </xdr:to>
    <xdr:sp macro="" textlink="'Pivot Reports'!A5">
      <xdr:nvSpPr>
        <xdr:cNvPr id="27" name="TextBox 26">
          <a:extLst>
            <a:ext uri="{FF2B5EF4-FFF2-40B4-BE49-F238E27FC236}">
              <a16:creationId xmlns:a16="http://schemas.microsoft.com/office/drawing/2014/main" id="{4C23C51A-FAC6-4F1B-93AD-5E05F37B3B6F}"/>
            </a:ext>
          </a:extLst>
        </xdr:cNvPr>
        <xdr:cNvSpPr txBox="1"/>
      </xdr:nvSpPr>
      <xdr:spPr>
        <a:xfrm>
          <a:off x="1540809" y="773205"/>
          <a:ext cx="493492" cy="186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0F7AD5E-F2EF-45C2-B85A-7683647C53B0}" type="TxLink">
            <a:rPr lang="en-US" sz="1400" b="0" i="0" u="none" strike="noStrike">
              <a:solidFill>
                <a:srgbClr val="000000"/>
              </a:solidFill>
              <a:latin typeface="Calibri"/>
              <a:ea typeface="Calibri"/>
              <a:cs typeface="Calibri"/>
            </a:rPr>
            <a:pPr algn="ctr"/>
            <a:t>506</a:t>
          </a:fld>
          <a:endParaRPr lang="en-US" sz="1400"/>
        </a:p>
      </xdr:txBody>
    </xdr:sp>
    <xdr:clientData/>
  </xdr:twoCellAnchor>
  <xdr:twoCellAnchor>
    <xdr:from>
      <xdr:col>1</xdr:col>
      <xdr:colOff>285749</xdr:colOff>
      <xdr:row>5</xdr:row>
      <xdr:rowOff>156883</xdr:rowOff>
    </xdr:from>
    <xdr:to>
      <xdr:col>4</xdr:col>
      <xdr:colOff>270710</xdr:colOff>
      <xdr:row>7</xdr:row>
      <xdr:rowOff>95251</xdr:rowOff>
    </xdr:to>
    <xdr:graphicFrame macro="">
      <xdr:nvGraphicFramePr>
        <xdr:cNvPr id="2" name="Chart 1">
          <a:hlinkClick xmlns:r="http://schemas.openxmlformats.org/officeDocument/2006/relationships" r:id="rId9"/>
          <a:extLst>
            <a:ext uri="{FF2B5EF4-FFF2-40B4-BE49-F238E27FC236}">
              <a16:creationId xmlns:a16="http://schemas.microsoft.com/office/drawing/2014/main" id="{F68DDC43-F399-4911-8087-32A8DD658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319367</xdr:colOff>
      <xdr:row>5</xdr:row>
      <xdr:rowOff>134471</xdr:rowOff>
    </xdr:from>
    <xdr:to>
      <xdr:col>7</xdr:col>
      <xdr:colOff>291353</xdr:colOff>
      <xdr:row>7</xdr:row>
      <xdr:rowOff>95250</xdr:rowOff>
    </xdr:to>
    <xdr:graphicFrame macro="">
      <xdr:nvGraphicFramePr>
        <xdr:cNvPr id="6" name="Chart 5">
          <a:hlinkClick xmlns:r="http://schemas.openxmlformats.org/officeDocument/2006/relationships" r:id="rId11"/>
          <a:extLst>
            <a:ext uri="{FF2B5EF4-FFF2-40B4-BE49-F238E27FC236}">
              <a16:creationId xmlns:a16="http://schemas.microsoft.com/office/drawing/2014/main" id="{67A1342B-D4E9-4E01-8755-501E34820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336177</xdr:colOff>
      <xdr:row>5</xdr:row>
      <xdr:rowOff>44824</xdr:rowOff>
    </xdr:from>
    <xdr:to>
      <xdr:col>10</xdr:col>
      <xdr:colOff>319369</xdr:colOff>
      <xdr:row>7</xdr:row>
      <xdr:rowOff>100853</xdr:rowOff>
    </xdr:to>
    <xdr:graphicFrame macro="">
      <xdr:nvGraphicFramePr>
        <xdr:cNvPr id="12" name="Chart 11">
          <a:hlinkClick xmlns:r="http://schemas.openxmlformats.org/officeDocument/2006/relationships" r:id="rId13"/>
          <a:extLst>
            <a:ext uri="{FF2B5EF4-FFF2-40B4-BE49-F238E27FC236}">
              <a16:creationId xmlns:a16="http://schemas.microsoft.com/office/drawing/2014/main" id="{BC7F0D65-EBA7-4F1A-A498-44B0970EC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285750</xdr:colOff>
      <xdr:row>10</xdr:row>
      <xdr:rowOff>98738</xdr:rowOff>
    </xdr:from>
    <xdr:to>
      <xdr:col>10</xdr:col>
      <xdr:colOff>341777</xdr:colOff>
      <xdr:row>18</xdr:row>
      <xdr:rowOff>72838</xdr:rowOff>
    </xdr:to>
    <xdr:sp macro="" textlink="">
      <xdr:nvSpPr>
        <xdr:cNvPr id="8" name="Rectangle: Rounded Corners 7">
          <a:extLst>
            <a:ext uri="{FF2B5EF4-FFF2-40B4-BE49-F238E27FC236}">
              <a16:creationId xmlns:a16="http://schemas.microsoft.com/office/drawing/2014/main" id="{6ACC0588-44A7-40C3-B37F-D79F649ECA58}"/>
            </a:ext>
          </a:extLst>
        </xdr:cNvPr>
        <xdr:cNvSpPr/>
      </xdr:nvSpPr>
      <xdr:spPr>
        <a:xfrm>
          <a:off x="896471" y="2003738"/>
          <a:ext cx="5552512" cy="1498100"/>
        </a:xfrm>
        <a:prstGeom prst="roundRect">
          <a:avLst>
            <a:gd name="adj" fmla="val 492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268940</xdr:colOff>
      <xdr:row>10</xdr:row>
      <xdr:rowOff>93136</xdr:rowOff>
    </xdr:from>
    <xdr:to>
      <xdr:col>10</xdr:col>
      <xdr:colOff>291352</xdr:colOff>
      <xdr:row>17</xdr:row>
      <xdr:rowOff>67236</xdr:rowOff>
    </xdr:to>
    <xdr:graphicFrame macro="">
      <xdr:nvGraphicFramePr>
        <xdr:cNvPr id="9" name="Chart 8">
          <a:extLst>
            <a:ext uri="{FF2B5EF4-FFF2-40B4-BE49-F238E27FC236}">
              <a16:creationId xmlns:a16="http://schemas.microsoft.com/office/drawing/2014/main" id="{8FE8EFB5-EF2A-4FB9-AF65-40D370440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4</xdr:col>
      <xdr:colOff>184897</xdr:colOff>
      <xdr:row>17</xdr:row>
      <xdr:rowOff>70723</xdr:rowOff>
    </xdr:from>
    <xdr:to>
      <xdr:col>7</xdr:col>
      <xdr:colOff>375397</xdr:colOff>
      <xdr:row>18</xdr:row>
      <xdr:rowOff>37106</xdr:rowOff>
    </xdr:to>
    <xdr:sp macro="" textlink="">
      <xdr:nvSpPr>
        <xdr:cNvPr id="14" name="TextBox 13">
          <a:extLst>
            <a:ext uri="{FF2B5EF4-FFF2-40B4-BE49-F238E27FC236}">
              <a16:creationId xmlns:a16="http://schemas.microsoft.com/office/drawing/2014/main" id="{CFCB01A2-8590-46FB-9CE3-D3232D3AFA4C}"/>
            </a:ext>
          </a:extLst>
        </xdr:cNvPr>
        <xdr:cNvSpPr txBox="1"/>
      </xdr:nvSpPr>
      <xdr:spPr>
        <a:xfrm>
          <a:off x="2627779" y="3309223"/>
          <a:ext cx="2022662" cy="156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b="1"/>
            <a:t>No. of Patient by Age Group</a:t>
          </a:r>
        </a:p>
      </xdr:txBody>
    </xdr:sp>
    <xdr:clientData/>
  </xdr:twoCellAnchor>
  <xdr:twoCellAnchor editAs="oneCell">
    <xdr:from>
      <xdr:col>8</xdr:col>
      <xdr:colOff>67235</xdr:colOff>
      <xdr:row>0</xdr:row>
      <xdr:rowOff>85819</xdr:rowOff>
    </xdr:from>
    <xdr:to>
      <xdr:col>10</xdr:col>
      <xdr:colOff>235324</xdr:colOff>
      <xdr:row>2</xdr:row>
      <xdr:rowOff>100853</xdr:rowOff>
    </xdr:to>
    <mc:AlternateContent xmlns:mc="http://schemas.openxmlformats.org/markup-compatibility/2006" xmlns:a14="http://schemas.microsoft.com/office/drawing/2010/main">
      <mc:Choice Requires="a14">
        <xdr:graphicFrame macro="">
          <xdr:nvGraphicFramePr>
            <xdr:cNvPr id="15" name="Date (Year)">
              <a:extLst>
                <a:ext uri="{FF2B5EF4-FFF2-40B4-BE49-F238E27FC236}">
                  <a16:creationId xmlns:a16="http://schemas.microsoft.com/office/drawing/2014/main" id="{3A6BF197-9DAC-4E82-821B-2198BA95FCB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953000" y="85819"/>
              <a:ext cx="1389530" cy="396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280738</xdr:colOff>
          <xdr:row>7</xdr:row>
          <xdr:rowOff>115303</xdr:rowOff>
        </xdr:from>
        <xdr:to>
          <xdr:col>10</xdr:col>
          <xdr:colOff>330868</xdr:colOff>
          <xdr:row>10</xdr:row>
          <xdr:rowOff>85224</xdr:rowOff>
        </xdr:to>
        <xdr:pic>
          <xdr:nvPicPr>
            <xdr:cNvPr id="23" name="Picture 22">
              <a:extLst>
                <a:ext uri="{FF2B5EF4-FFF2-40B4-BE49-F238E27FC236}">
                  <a16:creationId xmlns:a16="http://schemas.microsoft.com/office/drawing/2014/main" id="{11D2AA26-A22B-1ADA-2DD9-06ADC13479EB}"/>
                </a:ext>
              </a:extLst>
            </xdr:cNvPr>
            <xdr:cNvPicPr>
              <a:picLocks noChangeAspect="1" noChangeArrowheads="1"/>
              <a:extLst>
                <a:ext uri="{84589F7E-364E-4C9E-8A38-B11213B215E9}">
                  <a14:cameraTool cellRange="'Pivot Reports'!$A$54:$D$56" spid="_x0000_s2063"/>
                </a:ext>
              </a:extLst>
            </xdr:cNvPicPr>
          </xdr:nvPicPr>
          <xdr:blipFill>
            <a:blip xmlns:r="http://schemas.openxmlformats.org/officeDocument/2006/relationships" r:embed="rId16"/>
            <a:srcRect/>
            <a:stretch>
              <a:fillRect/>
            </a:stretch>
          </xdr:blipFill>
          <xdr:spPr bwMode="auto">
            <a:xfrm>
              <a:off x="892343" y="1448803"/>
              <a:ext cx="5554578" cy="541421"/>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0.04795</cdr:x>
      <cdr:y>0.86202</cdr:y>
    </cdr:from>
    <cdr:to>
      <cdr:x>0.94505</cdr:x>
      <cdr:y>0.9938</cdr:y>
    </cdr:to>
    <cdr:sp macro="" textlink="">
      <cdr:nvSpPr>
        <cdr:cNvPr id="2" name="TextBox 33">
          <a:extLst xmlns:a="http://schemas.openxmlformats.org/drawingml/2006/main">
            <a:ext uri="{FF2B5EF4-FFF2-40B4-BE49-F238E27FC236}">
              <a16:creationId xmlns:a16="http://schemas.microsoft.com/office/drawing/2014/main" id="{19D50337-BE16-4DDB-BC11-44AEF9B0CC45}"/>
            </a:ext>
          </a:extLst>
        </cdr:cNvPr>
        <cdr:cNvSpPr txBox="1"/>
      </cdr:nvSpPr>
      <cdr:spPr>
        <a:xfrm xmlns:a="http://schemas.openxmlformats.org/drawingml/2006/main">
          <a:off x="60569" y="1086339"/>
          <a:ext cx="1133232" cy="16607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700" b="1"/>
            <a:t>Gender</a:t>
          </a:r>
          <a:r>
            <a:rPr lang="en-US" sz="700" b="1" baseline="0"/>
            <a:t> Wise Analysis</a:t>
          </a:r>
          <a:endParaRPr lang="en-US" sz="700" b="1"/>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504825</xdr:colOff>
      <xdr:row>5</xdr:row>
      <xdr:rowOff>19050</xdr:rowOff>
    </xdr:from>
    <xdr:to>
      <xdr:col>17</xdr:col>
      <xdr:colOff>238125</xdr:colOff>
      <xdr:row>28</xdr:row>
      <xdr:rowOff>85725</xdr:rowOff>
    </xdr:to>
    <xdr:graphicFrame macro="">
      <xdr:nvGraphicFramePr>
        <xdr:cNvPr id="2" name="Chart 1">
          <a:extLst>
            <a:ext uri="{FF2B5EF4-FFF2-40B4-BE49-F238E27FC236}">
              <a16:creationId xmlns:a16="http://schemas.microsoft.com/office/drawing/2014/main" id="{838D5C32-3BD9-475F-906A-4155CB3D6B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552449</xdr:colOff>
      <xdr:row>28</xdr:row>
      <xdr:rowOff>76200</xdr:rowOff>
    </xdr:from>
    <xdr:to>
      <xdr:col>15</xdr:col>
      <xdr:colOff>342900</xdr:colOff>
      <xdr:row>30</xdr:row>
      <xdr:rowOff>9525</xdr:rowOff>
    </xdr:to>
    <xdr:sp macro="" textlink="">
      <xdr:nvSpPr>
        <xdr:cNvPr id="4" name="TextBox 3">
          <a:extLst>
            <a:ext uri="{FF2B5EF4-FFF2-40B4-BE49-F238E27FC236}">
              <a16:creationId xmlns:a16="http://schemas.microsoft.com/office/drawing/2014/main" id="{DE20681D-F320-50E9-5F72-021B4CBE6026}"/>
            </a:ext>
          </a:extLst>
        </xdr:cNvPr>
        <xdr:cNvSpPr txBox="1"/>
      </xdr:nvSpPr>
      <xdr:spPr>
        <a:xfrm>
          <a:off x="1771649" y="5410200"/>
          <a:ext cx="7715251"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Showing</a:t>
          </a:r>
          <a:r>
            <a:rPr lang="en-US" sz="1400" b="1" baseline="0"/>
            <a:t> a daily trend with an area sparkline to spot pattern like busy days or seasonal trends.</a:t>
          </a:r>
          <a:endParaRPr lang="en-US" sz="1400" b="1"/>
        </a:p>
      </xdr:txBody>
    </xdr:sp>
    <xdr:clientData/>
  </xdr:twoCellAnchor>
</xdr:wsDr>
</file>

<file path=xl/drawings/drawing5.xml><?xml version="1.0" encoding="utf-8"?>
<c:userShapes xmlns:c="http://schemas.openxmlformats.org/drawingml/2006/chart">
  <cdr:relSizeAnchor xmlns:cdr="http://schemas.openxmlformats.org/drawingml/2006/chartDrawing">
    <cdr:from>
      <cdr:x>0.0212</cdr:x>
      <cdr:y>0.02631</cdr:y>
    </cdr:from>
    <cdr:to>
      <cdr:x>0.09456</cdr:x>
      <cdr:y>0.15978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64AEA20-28D8-BFE9-2B28-3028F966062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01135" y="117011"/>
          <a:ext cx="695910" cy="593737"/>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3</xdr:col>
      <xdr:colOff>9524</xdr:colOff>
      <xdr:row>6</xdr:row>
      <xdr:rowOff>38098</xdr:rowOff>
    </xdr:from>
    <xdr:to>
      <xdr:col>18</xdr:col>
      <xdr:colOff>114300</xdr:colOff>
      <xdr:row>29</xdr:row>
      <xdr:rowOff>38099</xdr:rowOff>
    </xdr:to>
    <xdr:graphicFrame macro="">
      <xdr:nvGraphicFramePr>
        <xdr:cNvPr id="2" name="Chart 1">
          <a:extLst>
            <a:ext uri="{FF2B5EF4-FFF2-40B4-BE49-F238E27FC236}">
              <a16:creationId xmlns:a16="http://schemas.microsoft.com/office/drawing/2014/main" id="{201E9E2D-4D17-4310-ADCD-94B6676E8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190500</xdr:colOff>
      <xdr:row>29</xdr:row>
      <xdr:rowOff>47625</xdr:rowOff>
    </xdr:from>
    <xdr:to>
      <xdr:col>17</xdr:col>
      <xdr:colOff>533400</xdr:colOff>
      <xdr:row>30</xdr:row>
      <xdr:rowOff>180975</xdr:rowOff>
    </xdr:to>
    <xdr:sp macro="" textlink="">
      <xdr:nvSpPr>
        <xdr:cNvPr id="3" name="TextBox 2">
          <a:extLst>
            <a:ext uri="{FF2B5EF4-FFF2-40B4-BE49-F238E27FC236}">
              <a16:creationId xmlns:a16="http://schemas.microsoft.com/office/drawing/2014/main" id="{0F5A4917-3356-DD52-8C11-79C2A3C4C278}"/>
            </a:ext>
          </a:extLst>
        </xdr:cNvPr>
        <xdr:cNvSpPr txBox="1"/>
      </xdr:nvSpPr>
      <xdr:spPr>
        <a:xfrm>
          <a:off x="2019300" y="5572125"/>
          <a:ext cx="8877300" cy="3238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Use</a:t>
          </a:r>
          <a:r>
            <a:rPr lang="en-US" sz="1400" b="1" baseline="0"/>
            <a:t> an area sparkline to track daily changes and highlight days with longer wait times tha might need improvements.</a:t>
          </a:r>
          <a:endParaRPr lang="en-US" sz="1400" b="1"/>
        </a:p>
      </xdr:txBody>
    </xdr:sp>
    <xdr:clientData/>
  </xdr:twoCellAnchor>
</xdr:wsDr>
</file>

<file path=xl/drawings/drawing7.xml><?xml version="1.0" encoding="utf-8"?>
<c:userShapes xmlns:c="http://schemas.openxmlformats.org/drawingml/2006/chart">
  <cdr:relSizeAnchor xmlns:cdr="http://schemas.openxmlformats.org/drawingml/2006/chartDrawing">
    <cdr:from>
      <cdr:x>0.01682</cdr:x>
      <cdr:y>0.03415</cdr:y>
    </cdr:from>
    <cdr:to>
      <cdr:x>0.08685</cdr:x>
      <cdr:y>0.17001</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FB418C2-4E90-B70C-141B-40326BEFCFD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55575" y="146050"/>
          <a:ext cx="647700" cy="581024"/>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3</xdr:col>
      <xdr:colOff>427037</xdr:colOff>
      <xdr:row>7</xdr:row>
      <xdr:rowOff>19051</xdr:rowOff>
    </xdr:from>
    <xdr:to>
      <xdr:col>18</xdr:col>
      <xdr:colOff>44451</xdr:colOff>
      <xdr:row>27</xdr:row>
      <xdr:rowOff>95250</xdr:rowOff>
    </xdr:to>
    <xdr:graphicFrame macro="">
      <xdr:nvGraphicFramePr>
        <xdr:cNvPr id="2" name="Chart 1">
          <a:extLst>
            <a:ext uri="{FF2B5EF4-FFF2-40B4-BE49-F238E27FC236}">
              <a16:creationId xmlns:a16="http://schemas.microsoft.com/office/drawing/2014/main" id="{FC45EF42-E17D-496C-9A33-E3BC12356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269875</xdr:colOff>
      <xdr:row>27</xdr:row>
      <xdr:rowOff>103188</xdr:rowOff>
    </xdr:from>
    <xdr:to>
      <xdr:col>17</xdr:col>
      <xdr:colOff>476250</xdr:colOff>
      <xdr:row>28</xdr:row>
      <xdr:rowOff>158750</xdr:rowOff>
    </xdr:to>
    <xdr:sp macro="" textlink="">
      <xdr:nvSpPr>
        <xdr:cNvPr id="3" name="TextBox 2">
          <a:extLst>
            <a:ext uri="{FF2B5EF4-FFF2-40B4-BE49-F238E27FC236}">
              <a16:creationId xmlns:a16="http://schemas.microsoft.com/office/drawing/2014/main" id="{AEF6E38D-698E-DBA1-2666-451D4709B83D}"/>
            </a:ext>
          </a:extLst>
        </xdr:cNvPr>
        <xdr:cNvSpPr txBox="1"/>
      </xdr:nvSpPr>
      <xdr:spPr>
        <a:xfrm>
          <a:off x="2714625" y="5246688"/>
          <a:ext cx="8151813" cy="24606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Use an area</a:t>
          </a:r>
          <a:r>
            <a:rPr lang="en-US" sz="1400" b="1" baseline="0"/>
            <a:t> Chart to show trends, spot drops in satisfaction, and link them to busy times or challenges.</a:t>
          </a:r>
          <a:endParaRPr lang="en-US" sz="1400" b="1"/>
        </a:p>
      </xdr:txBody>
    </xdr:sp>
    <xdr:clientData/>
  </xdr:twoCellAnchor>
</xdr:wsDr>
</file>

<file path=xl/drawings/drawing9.xml><?xml version="1.0" encoding="utf-8"?>
<c:userShapes xmlns:c="http://schemas.openxmlformats.org/drawingml/2006/chart">
  <cdr:relSizeAnchor xmlns:cdr="http://schemas.openxmlformats.org/drawingml/2006/chartDrawing">
    <cdr:from>
      <cdr:x>0.01211</cdr:x>
      <cdr:y>0.0192</cdr:y>
    </cdr:from>
    <cdr:to>
      <cdr:x>0.08583</cdr:x>
      <cdr:y>0.17237</cdr:y>
    </cdr:to>
    <cdr:pic>
      <cdr:nvPicPr>
        <cdr:cNvPr id="2" name="Graphic 1"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BFA68E5-8220-8BB5-FB4F-D90B1884292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6362" y="74613"/>
          <a:ext cx="647700" cy="595258"/>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68402778" createdVersion="5" refreshedVersion="8" minRefreshableVersion="3" recordCount="0" supportSubquery="1" supportAdvancedDrill="1" xr:uid="{640FC01D-E81D-4FD1-AE17-A54F0A582DA1}">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68634263" createdVersion="5" refreshedVersion="8" minRefreshableVersion="3" recordCount="0" supportSubquery="1" supportAdvancedDrill="1" xr:uid="{BFCD0166-7173-40FA-937A-86A5F0E9CFE7}">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6886574" createdVersion="5" refreshedVersion="8" minRefreshableVersion="3" recordCount="0" supportSubquery="1" supportAdvancedDrill="1" xr:uid="{4DB25450-D35A-4D8B-9978-236D435C936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69328702" createdVersion="5" refreshedVersion="8" minRefreshableVersion="3" recordCount="0" supportSubquery="1" supportAdvancedDrill="1" xr:uid="{F1957842-1C31-4278-9379-AD4C2FC6008F}">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69675925" createdVersion="5" refreshedVersion="8" minRefreshableVersion="3" recordCount="0" supportSubquery="1" supportAdvancedDrill="1" xr:uid="{76C40AE9-D851-4265-AC3C-A6B9C25EDA2D}">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69791664" createdVersion="5" refreshedVersion="8" minRefreshableVersion="3" recordCount="0" supportSubquery="1" supportAdvancedDrill="1" xr:uid="{5102FECF-07A9-4483-8FE6-BCF851610C15}">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6990741" createdVersion="5" refreshedVersion="8" minRefreshableVersion="3" recordCount="0" supportSubquery="1" supportAdvancedDrill="1" xr:uid="{65FD3727-EE18-463D-A028-88F1C5A4B0AB}">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70254633" createdVersion="5" refreshedVersion="8" minRefreshableVersion="3" recordCount="0" supportSubquery="1" supportAdvancedDrill="1" xr:uid="{E11CEA6D-CF48-426A-A06A-39791F508F70}">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7048611" createdVersion="5" refreshedVersion="8" minRefreshableVersion="3" recordCount="0" supportSubquery="1" supportAdvancedDrill="1" xr:uid="{94865B56-7FD6-4B72-AD6D-299315290FC7}">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70949072" createdVersion="5" refreshedVersion="8" minRefreshableVersion="3" recordCount="0" supportSubquery="1" supportAdvancedDrill="1" xr:uid="{540A61B1-84BE-4B75-9D02-C53FB672E5FC}">
  <cacheSource type="external" connectionId="3"/>
  <cacheFields count="4">
    <cacheField name="[Calende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71296296" createdVersion="5" refreshedVersion="8" minRefreshableVersion="3" recordCount="0" supportSubquery="1" supportAdvancedDrill="1" xr:uid="{DD08E677-17C8-44F0-903A-813BF79EFB58}">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71643519" createdVersion="5" refreshedVersion="8" minRefreshableVersion="3" recordCount="0" supportSubquery="1" supportAdvancedDrill="1" xr:uid="{5F404E6A-C912-4E5A-9E03-B0C528F1FA62}">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4.031971990742" createdVersion="5" refreshedVersion="8" minRefreshableVersion="3" recordCount="0" supportSubquery="1" supportAdvancedDrill="1" xr:uid="{DF79BA40-9A56-42E6-BA3D-2CDC13A8D313}">
  <cacheSource type="external" connectionId="3"/>
  <cacheFields count="4">
    <cacheField name="[Calender_Table].[Date (Month)].[Date (Month)]" caption="Date (Month)" numFmtId="0" hierarchy="1" level="1">
      <sharedItems count="1">
        <s v="Apr"/>
      </sharedItems>
    </cacheField>
    <cacheField name="[Calende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2.054184490742" createdVersion="3" refreshedVersion="8" minRefreshableVersion="3" recordCount="0" supportSubquery="1" supportAdvancedDrill="1" xr:uid="{D9F76574-7224-4469-8259-73C28F846C4A}">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154675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A6D2A7-7C16-4FF9-BD10-BD6A437DAE09}" name="PivotTable4" cacheId="169" applyNumberFormats="0" applyBorderFormats="0" applyFontFormats="0" applyPatternFormats="0" applyAlignmentFormats="0" applyWidthHeightFormats="1" dataCaption="Values" tag="f2b35ef7-56a9-4413-8be6-9ac0530922a0" updatedVersion="8" minRefreshableVersion="3" subtotalHiddenItems="1" itemPrintTitles="1" createdVersion="5" indent="0" outline="1" outlineData="1" multipleFieldFilters="0" chartFormat="16">
  <location ref="A115:A11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72">
      <pivotArea outline="0" collapsedLevelsAreSubtotals="1" fieldPosition="0"/>
    </format>
  </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56AF0A-FDAE-460D-B397-1BE7683E06EC}" name="PivotTable8" cacheId="166" applyNumberFormats="0" applyBorderFormats="0" applyFontFormats="0" applyPatternFormats="0" applyAlignmentFormats="0" applyWidthHeightFormats="1" dataCaption="Values" tag="f2b35ef7-56a9-4413-8be6-9ac0530922a0" updatedVersion="8" minRefreshableVersion="3" subtotalHiddenItems="1" itemPrintTitles="1" createdVersion="5" indent="0" outline="1" outlineData="1" multipleFieldFilters="0" chartFormat="16">
  <location ref="A60: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74">
      <pivotArea outline="0" collapsedLevelsAreSubtotals="1" fieldPosition="0"/>
    </format>
    <format dxfId="73">
      <pivotArea collapsedLevelsAreSubtotals="1" fieldPosition="0">
        <references count="1">
          <reference field="1" count="0"/>
        </references>
      </pivotArea>
    </format>
  </formats>
  <chartFormats count="1">
    <chartFormat chart="1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090F89-B2DB-45A6-A92E-5EEA15AF7BA1}" name="PivotTable3" cacheId="151" applyNumberFormats="0" applyBorderFormats="0" applyFontFormats="0" applyPatternFormats="0" applyAlignmentFormats="0" applyWidthHeightFormats="1" dataCaption="Values" tag="f2b35ef7-56a9-4413-8be6-9ac0530922a0"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5">
      <pivotArea outline="0" collapsedLevelsAreSubtotals="1" fieldPosition="0"/>
    </format>
  </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1DC70C-2D7B-4434-BB8A-6D254D1C3B66}" name="PivotTable2" cacheId="148" applyNumberFormats="0" applyBorderFormats="0" applyFontFormats="0" applyPatternFormats="0" applyAlignmentFormats="0" applyWidthHeightFormats="1" dataCaption="Values" tag="c4551aac-ab6b-4227-93f9-e5c202e0f44d"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6">
      <pivotArea outline="0" collapsedLevelsAreSubtotals="1" fieldPosition="0"/>
    </format>
  </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65EBFD-575A-4A83-B13E-6DC083F90B06}" name="PivotTable6" cacheId="157" applyNumberFormats="0" applyBorderFormats="0" applyFontFormats="0" applyPatternFormats="0" applyAlignmentFormats="0" applyWidthHeightFormats="1" dataCaption="Values" tag="f2b35ef7-56a9-4413-8be6-9ac0530922a0" updatedVersion="8" minRefreshableVersion="3" subtotalHiddenItems="1" itemPrintTitles="1" createdVersion="5" indent="0" outline="1" outlineData="1" multipleFieldFilters="0" chartFormat="3">
  <location ref="A44:C4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79">
      <pivotArea outline="0" collapsedLevelsAreSubtotals="1" fieldPosition="0"/>
    </format>
    <format dxfId="78">
      <pivotArea collapsedLevelsAreSubtotals="1" fieldPosition="0">
        <references count="1">
          <reference field="1" count="0"/>
        </references>
      </pivotArea>
    </format>
    <format dxfId="77">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D4C011-D1DB-4400-AEC5-29DDEE927660}" name="PivotTable5" cacheId="154" applyNumberFormats="0" applyBorderFormats="0" applyFontFormats="0" applyPatternFormats="0" applyAlignmentFormats="0" applyWidthHeightFormats="1" dataCaption="Values" tag="af562f2e-c13c-4a0b-bb40-a02a67b80efa" updatedVersion="8" minRefreshableVersion="3" subtotalHiddenItems="1" itemPrintTitles="1" createdVersion="5" indent="0" outline="1" outlineData="1" multipleFieldFilters="0" chartFormat="30">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80">
      <pivotArea outline="0" collapsedLevelsAreSubtotals="1" fieldPosition="0"/>
    </format>
  </formats>
  <chartFormats count="3">
    <chartFormat chart="12"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D086D3-2968-4364-AE62-73F9BFE871D8}" name="PivotTable13" cacheId="133" applyNumberFormats="0" applyBorderFormats="0" applyFontFormats="0" applyPatternFormats="0" applyAlignmentFormats="0" applyWidthHeightFormats="1" dataCaption="Values" tag="af562f2e-c13c-4a0b-bb40-a02a67b80efa" updatedVersion="8" minRefreshableVersion="3" subtotalHiddenItems="1" itemPrintTitles="1" createdVersion="5" indent="0" outline="1" outlineData="1" multipleFieldFilters="0" chartFormat="27">
  <location ref="D4:E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2" subtotal="count" baseField="0" baseItem="0" numFmtId="1"/>
  </dataFields>
  <formats count="1">
    <format dxfId="81">
      <pivotArea outline="0" collapsedLevelsAreSubtotals="1" fieldPosition="0"/>
    </format>
  </formats>
  <chartFormats count="2">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E94C8C-A7C1-4C30-AEED-8B550D0AC86C}" name="PivotTable12" cacheId="145" applyNumberFormats="0" applyBorderFormats="0" applyFontFormats="0" applyPatternFormats="0" applyAlignmentFormats="0" applyWidthHeightFormats="1" dataCaption="Values" tag="f2b35ef7-56a9-4413-8be6-9ac0530922a0" updatedVersion="8" minRefreshableVersion="3" subtotalHiddenItems="1" itemPrintTitles="1" createdVersion="5" indent="0" outline="1" outlineData="1" multipleFieldFilters="0" chartFormat="16">
  <location ref="A101:B11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2">
    <format dxfId="83">
      <pivotArea outline="0" collapsedLevelsAreSubtotals="1" fieldPosition="0"/>
    </format>
    <format dxfId="82">
      <pivotArea collapsedLevelsAreSubtotals="1" fieldPosition="0">
        <references count="1">
          <reference field="1" count="0"/>
        </references>
      </pivotArea>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AF5C82-FAAC-46D8-B78B-7731122B8262}" name="PivotTable10" cacheId="139" applyNumberFormats="0" applyBorderFormats="0" applyFontFormats="0" applyPatternFormats="0" applyAlignmentFormats="0" applyWidthHeightFormats="1" dataCaption="Values" tag="f2b35ef7-56a9-4413-8be6-9ac0530922a0" updatedVersion="8" minRefreshableVersion="3" subtotalHiddenItems="1" itemPrintTitles="1" createdVersion="5" indent="0" outline="1" outlineData="1" multipleFieldFilters="0" chartFormat="13">
  <location ref="A80:B8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84">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DA3A32-8A41-46A4-8718-C85DF10724FC}" name="PivotTable9" cacheId="163" applyNumberFormats="0" applyBorderFormats="0" applyFontFormats="0" applyPatternFormats="0" applyAlignmentFormats="0" applyWidthHeightFormats="1" dataCaption="Values" tag="f2b35ef7-56a9-4413-8be6-9ac0530922a0" updatedVersion="8" minRefreshableVersion="3" subtotalHiddenItems="1" itemPrintTitles="1" createdVersion="5" indent="0" outline="1" outlineData="1" multipleFieldFilters="0" chartFormat="10">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86">
      <pivotArea outline="0" collapsedLevelsAreSubtotals="1" fieldPosition="0"/>
    </format>
    <format dxfId="85">
      <pivotArea collapsedLevelsAreSubtotals="1" fieldPosition="0">
        <references count="1">
          <reference field="1" count="0"/>
        </references>
      </pivotArea>
    </format>
  </formats>
  <chartFormats count="10">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EAD4D3-E158-45C9-93F0-5A84C8C12265}" name="PivotTable7" cacheId="160" applyNumberFormats="0" applyBorderFormats="0" applyFontFormats="0" applyPatternFormats="0" applyAlignmentFormats="0" applyWidthHeightFormats="1" dataCaption="Values" tag="af562f2e-c13c-4a0b-bb40-a02a67b80efa" updatedVersion="8" minRefreshableVersion="3" subtotalHiddenItems="1" itemPrintTitles="1" createdVersion="5" indent="0" outline="1" outlineData="1" multipleFieldFilters="0" chartFormat="53">
  <location ref="L4:M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87">
      <pivotArea outline="0" collapsedLevelsAreSubtotals="1" fieldPosition="0"/>
    </format>
  </formats>
  <chartFormats count="7">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37" format="6"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51"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32C889C-0F02-4C39-891E-2ECFC626D447}" name="PivotTable1" cacheId="136" applyNumberFormats="0" applyBorderFormats="0" applyFontFormats="0" applyPatternFormats="0" applyAlignmentFormats="0" applyWidthHeightFormats="1" dataCaption="Values" tag="cdd411ce-6f17-4d6c-af41-0f4e92eb441a"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D6877E6-F39D-4704-B5C7-A58744273AE5}" name="PivotTable11" cacheId="142" applyNumberFormats="0" applyBorderFormats="0" applyFontFormats="0" applyPatternFormats="0" applyAlignmentFormats="0" applyWidthHeightFormats="1" dataCaption="Values" tag="f2b35ef7-56a9-4413-8be6-9ac0530922a0" updatedVersion="8" minRefreshableVersion="3" subtotalHiddenItems="1" itemPrintTitles="1" createdVersion="5" indent="0" outline="1" outlineData="1" multipleFieldFilters="0" chartFormat="16">
  <location ref="A87:B96"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formats count="2">
    <format dxfId="89">
      <pivotArea outline="0" collapsedLevelsAreSubtotals="1" fieldPosition="0"/>
    </format>
    <format dxfId="88">
      <pivotArea collapsedLevelsAreSubtotals="1" fieldPosition="0">
        <references count="1">
          <reference field="1" count="0"/>
        </references>
      </pivotArea>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Mar]"/>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4687C03-65E1-41A9-B5C7-FDBDCBD6CA9D}" sourceName="[Calender_Table].[Date (Month)]">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5"/>
    <pivotTable tabId="1" name="PivotTable6"/>
    <pivotTable tabId="1" name="PivotTable7"/>
    <pivotTable tabId="1" name="PivotTable9"/>
    <pivotTable tabId="1" name="PivotTable8"/>
    <pivotTable tabId="1" name="PivotTable4"/>
  </pivotTables>
  <data>
    <olap pivotCacheId="515467525">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5C1A7D80-5BD9-46CF-A1D3-8E9F1A28AA0E}" sourceName="[Calender_Table].[Date (Year)]">
  <pivotTables>
    <pivotTable tabId="1" name="PivotTable4"/>
    <pivotTable tabId="1" name="PivotTable1"/>
    <pivotTable tabId="1" name="PivotTable10"/>
    <pivotTable tabId="1" name="PivotTable11"/>
    <pivotTable tabId="1" name="PivotTable12"/>
    <pivotTable tabId="1" name="PivotTable13"/>
    <pivotTable tabId="1" name="PivotTable2"/>
    <pivotTable tabId="1" name="PivotTable3"/>
    <pivotTable tabId="1" name="PivotTable5"/>
    <pivotTable tabId="1" name="PivotTable6"/>
    <pivotTable tabId="1" name="PivotTable7"/>
    <pivotTable tabId="1" name="PivotTable8"/>
    <pivotTable tabId="1" name="PivotTable9"/>
  </pivotTables>
  <data>
    <olap pivotCacheId="515467525">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F82E3E5-7E49-410E-831E-6F807C688BC0}" cache="Slicer_Date__Month" caption="Date (Month)" showCaption="0" level="1" style="SlicerStyleDark" rowHeight="182880"/>
  <slicer name="Date (Year)" xr10:uid="{D3263F60-F484-458F-BFDC-AB7628C8C094}" cache="Slicer_Date__Year" caption="Date (Year)" columnCount="2" showCaption="0" level="1" style="SlicerStyleDark2 3"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8131-FF23-46DC-9C4C-BFC6C03206A1}">
  <dimension ref="A3:M117"/>
  <sheetViews>
    <sheetView topLeftCell="A34" zoomScale="117" workbookViewId="0">
      <selection activeCell="A54" sqref="A54:D56"/>
    </sheetView>
  </sheetViews>
  <sheetFormatPr defaultRowHeight="15" x14ac:dyDescent="0.25"/>
  <cols>
    <col min="1" max="1" width="20.42578125" customWidth="1"/>
    <col min="2" max="2" width="16" customWidth="1"/>
    <col min="3" max="3" width="13.28515625" customWidth="1"/>
    <col min="4" max="4" width="15.28515625" customWidth="1"/>
    <col min="5" max="5" width="25.42578125" bestFit="1" customWidth="1"/>
    <col min="8" max="8" width="18" bestFit="1" customWidth="1"/>
    <col min="9" max="9" width="25.140625" bestFit="1" customWidth="1"/>
    <col min="12" max="12" width="13.140625" bestFit="1" customWidth="1"/>
    <col min="13" max="13" width="26.85546875" bestFit="1" customWidth="1"/>
  </cols>
  <sheetData>
    <row r="3" spans="1:13" x14ac:dyDescent="0.25">
      <c r="A3" t="s">
        <v>1</v>
      </c>
      <c r="D3" s="11" t="s">
        <v>6</v>
      </c>
      <c r="E3" s="11"/>
      <c r="H3" s="11" t="s">
        <v>7</v>
      </c>
      <c r="I3" s="11"/>
      <c r="L3" s="11" t="s">
        <v>8</v>
      </c>
      <c r="M3" s="11"/>
    </row>
    <row r="4" spans="1:13" x14ac:dyDescent="0.25">
      <c r="A4" t="s">
        <v>0</v>
      </c>
      <c r="D4" s="2" t="s">
        <v>5</v>
      </c>
      <c r="E4" t="s">
        <v>28</v>
      </c>
      <c r="H4" s="2" t="s">
        <v>5</v>
      </c>
      <c r="I4" t="s">
        <v>2</v>
      </c>
      <c r="L4" s="2" t="s">
        <v>5</v>
      </c>
      <c r="M4" t="s">
        <v>3</v>
      </c>
    </row>
    <row r="5" spans="1:13" x14ac:dyDescent="0.25">
      <c r="A5" s="1">
        <v>506</v>
      </c>
      <c r="D5" s="4" t="s">
        <v>42</v>
      </c>
      <c r="E5" s="5">
        <v>19</v>
      </c>
      <c r="H5" s="4" t="s">
        <v>42</v>
      </c>
      <c r="I5" s="3">
        <v>34.526315789473685</v>
      </c>
      <c r="L5" s="4" t="s">
        <v>42</v>
      </c>
      <c r="M5" s="3">
        <v>7.2</v>
      </c>
    </row>
    <row r="6" spans="1:13" x14ac:dyDescent="0.25">
      <c r="D6" s="4" t="s">
        <v>43</v>
      </c>
      <c r="E6" s="5">
        <v>24</v>
      </c>
      <c r="H6" s="4" t="s">
        <v>43</v>
      </c>
      <c r="I6" s="3">
        <v>33.708333333333336</v>
      </c>
      <c r="L6" s="4" t="s">
        <v>43</v>
      </c>
      <c r="M6" s="3">
        <v>6</v>
      </c>
    </row>
    <row r="7" spans="1:13" x14ac:dyDescent="0.25">
      <c r="D7" s="4" t="s">
        <v>44</v>
      </c>
      <c r="E7" s="5">
        <v>24</v>
      </c>
      <c r="H7" s="4" t="s">
        <v>44</v>
      </c>
      <c r="I7" s="3">
        <v>36.291666666666664</v>
      </c>
      <c r="L7" s="4" t="s">
        <v>44</v>
      </c>
      <c r="M7" s="3">
        <v>1.5</v>
      </c>
    </row>
    <row r="8" spans="1:13" x14ac:dyDescent="0.25">
      <c r="D8" s="4" t="s">
        <v>45</v>
      </c>
      <c r="E8" s="5">
        <v>14</v>
      </c>
      <c r="H8" s="4" t="s">
        <v>45</v>
      </c>
      <c r="I8" s="3">
        <v>35.071428571428569</v>
      </c>
      <c r="L8" s="4" t="s">
        <v>45</v>
      </c>
      <c r="M8" s="3">
        <v>2.75</v>
      </c>
    </row>
    <row r="9" spans="1:13" x14ac:dyDescent="0.25">
      <c r="A9" t="s">
        <v>2</v>
      </c>
      <c r="D9" s="4" t="s">
        <v>46</v>
      </c>
      <c r="E9" s="5">
        <v>14</v>
      </c>
      <c r="H9" s="4" t="s">
        <v>46</v>
      </c>
      <c r="I9" s="3">
        <v>31.571428571428573</v>
      </c>
      <c r="L9" s="4" t="s">
        <v>46</v>
      </c>
      <c r="M9" s="3">
        <v>5</v>
      </c>
    </row>
    <row r="10" spans="1:13" x14ac:dyDescent="0.25">
      <c r="A10" s="3">
        <v>35.879446640316203</v>
      </c>
      <c r="D10" s="4" t="s">
        <v>47</v>
      </c>
      <c r="E10" s="5">
        <v>16</v>
      </c>
      <c r="H10" s="4" t="s">
        <v>47</v>
      </c>
      <c r="I10" s="3">
        <v>31.8125</v>
      </c>
      <c r="L10" s="4" t="s">
        <v>47</v>
      </c>
      <c r="M10" s="3">
        <v>5.5</v>
      </c>
    </row>
    <row r="11" spans="1:13" x14ac:dyDescent="0.25">
      <c r="D11" s="4" t="s">
        <v>48</v>
      </c>
      <c r="E11" s="5">
        <v>26</v>
      </c>
      <c r="H11" s="4" t="s">
        <v>48</v>
      </c>
      <c r="I11" s="3">
        <v>36.846153846153847</v>
      </c>
      <c r="L11" s="4" t="s">
        <v>48</v>
      </c>
      <c r="M11" s="3">
        <v>5.0909090909090908</v>
      </c>
    </row>
    <row r="12" spans="1:13" x14ac:dyDescent="0.25">
      <c r="D12" s="4" t="s">
        <v>49</v>
      </c>
      <c r="E12" s="5">
        <v>14</v>
      </c>
      <c r="H12" s="4" t="s">
        <v>49</v>
      </c>
      <c r="I12" s="3">
        <v>34.071428571428569</v>
      </c>
      <c r="L12" s="4" t="s">
        <v>49</v>
      </c>
      <c r="M12" s="3">
        <v>7.666666666666667</v>
      </c>
    </row>
    <row r="13" spans="1:13" x14ac:dyDescent="0.25">
      <c r="A13" t="s">
        <v>3</v>
      </c>
      <c r="D13" s="4" t="s">
        <v>50</v>
      </c>
      <c r="E13" s="5">
        <v>22</v>
      </c>
      <c r="H13" s="4" t="s">
        <v>50</v>
      </c>
      <c r="I13" s="3">
        <v>33</v>
      </c>
      <c r="L13" s="4" t="s">
        <v>50</v>
      </c>
      <c r="M13" s="3">
        <v>3.5</v>
      </c>
    </row>
    <row r="14" spans="1:13" x14ac:dyDescent="0.25">
      <c r="A14" s="3">
        <v>5.3277310924369745</v>
      </c>
      <c r="D14" s="4" t="s">
        <v>51</v>
      </c>
      <c r="E14" s="5">
        <v>18</v>
      </c>
      <c r="H14" s="4" t="s">
        <v>51</v>
      </c>
      <c r="I14" s="3">
        <v>40.222222222222221</v>
      </c>
      <c r="L14" s="4" t="s">
        <v>51</v>
      </c>
      <c r="M14" s="3">
        <v>3.6666666666666665</v>
      </c>
    </row>
    <row r="15" spans="1:13" x14ac:dyDescent="0.25">
      <c r="D15" s="4" t="s">
        <v>52</v>
      </c>
      <c r="E15" s="5">
        <v>20</v>
      </c>
      <c r="H15" s="4" t="s">
        <v>52</v>
      </c>
      <c r="I15" s="3">
        <v>42.05</v>
      </c>
      <c r="L15" s="4" t="s">
        <v>52</v>
      </c>
      <c r="M15" s="3">
        <v>3.8</v>
      </c>
    </row>
    <row r="16" spans="1:13" x14ac:dyDescent="0.25">
      <c r="D16" s="4" t="s">
        <v>53</v>
      </c>
      <c r="E16" s="5">
        <v>13</v>
      </c>
      <c r="H16" s="4" t="s">
        <v>53</v>
      </c>
      <c r="I16" s="3">
        <v>42.615384615384613</v>
      </c>
      <c r="L16" s="4" t="s">
        <v>53</v>
      </c>
      <c r="M16" s="3">
        <v>1</v>
      </c>
    </row>
    <row r="17" spans="4:13" x14ac:dyDescent="0.25">
      <c r="D17" s="4" t="s">
        <v>54</v>
      </c>
      <c r="E17" s="5">
        <v>13</v>
      </c>
      <c r="H17" s="4" t="s">
        <v>54</v>
      </c>
      <c r="I17" s="3">
        <v>40.46153846153846</v>
      </c>
      <c r="L17" s="4" t="s">
        <v>54</v>
      </c>
      <c r="M17" s="3">
        <v>7</v>
      </c>
    </row>
    <row r="18" spans="4:13" x14ac:dyDescent="0.25">
      <c r="D18" s="4" t="s">
        <v>55</v>
      </c>
      <c r="E18" s="5">
        <v>14</v>
      </c>
      <c r="H18" s="4" t="s">
        <v>55</v>
      </c>
      <c r="I18" s="3">
        <v>34.071428571428569</v>
      </c>
      <c r="L18" s="4" t="s">
        <v>55</v>
      </c>
      <c r="M18" s="3">
        <v>5</v>
      </c>
    </row>
    <row r="19" spans="4:13" x14ac:dyDescent="0.25">
      <c r="D19" s="4" t="s">
        <v>56</v>
      </c>
      <c r="E19" s="5">
        <v>13</v>
      </c>
      <c r="H19" s="4" t="s">
        <v>56</v>
      </c>
      <c r="I19" s="3">
        <v>33.92307692307692</v>
      </c>
      <c r="L19" s="4" t="s">
        <v>56</v>
      </c>
      <c r="M19" s="3">
        <v>4.25</v>
      </c>
    </row>
    <row r="20" spans="4:13" x14ac:dyDescent="0.25">
      <c r="D20" s="4" t="s">
        <v>57</v>
      </c>
      <c r="E20" s="5">
        <v>18</v>
      </c>
      <c r="H20" s="4" t="s">
        <v>57</v>
      </c>
      <c r="I20" s="3">
        <v>43.166666666666664</v>
      </c>
      <c r="L20" s="4" t="s">
        <v>57</v>
      </c>
      <c r="M20" s="3">
        <v>4</v>
      </c>
    </row>
    <row r="21" spans="4:13" x14ac:dyDescent="0.25">
      <c r="D21" s="4" t="s">
        <v>58</v>
      </c>
      <c r="E21" s="5">
        <v>12</v>
      </c>
      <c r="H21" s="4" t="s">
        <v>58</v>
      </c>
      <c r="I21" s="3">
        <v>42.25</v>
      </c>
      <c r="L21" s="4" t="s">
        <v>58</v>
      </c>
      <c r="M21" s="3">
        <v>7.333333333333333</v>
      </c>
    </row>
    <row r="22" spans="4:13" x14ac:dyDescent="0.25">
      <c r="D22" s="4" t="s">
        <v>59</v>
      </c>
      <c r="E22" s="5">
        <v>11</v>
      </c>
      <c r="H22" s="4" t="s">
        <v>59</v>
      </c>
      <c r="I22" s="3">
        <v>44.090909090909093</v>
      </c>
      <c r="L22" s="4" t="s">
        <v>59</v>
      </c>
      <c r="M22" s="3">
        <v>9</v>
      </c>
    </row>
    <row r="23" spans="4:13" x14ac:dyDescent="0.25">
      <c r="D23" s="4" t="s">
        <v>60</v>
      </c>
      <c r="E23" s="5">
        <v>14</v>
      </c>
      <c r="H23" s="4" t="s">
        <v>60</v>
      </c>
      <c r="I23" s="3">
        <v>39</v>
      </c>
      <c r="L23" s="4" t="s">
        <v>60</v>
      </c>
      <c r="M23" s="3">
        <v>5.25</v>
      </c>
    </row>
    <row r="24" spans="4:13" x14ac:dyDescent="0.25">
      <c r="D24" s="4" t="s">
        <v>61</v>
      </c>
      <c r="E24" s="5">
        <v>12</v>
      </c>
      <c r="H24" s="4" t="s">
        <v>61</v>
      </c>
      <c r="I24" s="3">
        <v>31.25</v>
      </c>
      <c r="L24" s="4" t="s">
        <v>61</v>
      </c>
      <c r="M24" s="3">
        <v>6.6</v>
      </c>
    </row>
    <row r="25" spans="4:13" x14ac:dyDescent="0.25">
      <c r="D25" s="4" t="s">
        <v>62</v>
      </c>
      <c r="E25" s="5">
        <v>16</v>
      </c>
      <c r="H25" s="4" t="s">
        <v>62</v>
      </c>
      <c r="I25" s="3">
        <v>28.5</v>
      </c>
      <c r="L25" s="4" t="s">
        <v>62</v>
      </c>
      <c r="M25" s="3">
        <v>6.25</v>
      </c>
    </row>
    <row r="26" spans="4:13" x14ac:dyDescent="0.25">
      <c r="D26" s="4" t="s">
        <v>63</v>
      </c>
      <c r="E26" s="5">
        <v>16</v>
      </c>
      <c r="H26" s="4" t="s">
        <v>63</v>
      </c>
      <c r="I26" s="3">
        <v>34.0625</v>
      </c>
      <c r="L26" s="4" t="s">
        <v>63</v>
      </c>
      <c r="M26" s="3">
        <v>6.333333333333333</v>
      </c>
    </row>
    <row r="27" spans="4:13" x14ac:dyDescent="0.25">
      <c r="D27" s="4" t="s">
        <v>64</v>
      </c>
      <c r="E27" s="5">
        <v>15</v>
      </c>
      <c r="H27" s="4" t="s">
        <v>64</v>
      </c>
      <c r="I27" s="3">
        <v>25.2</v>
      </c>
      <c r="L27" s="4" t="s">
        <v>64</v>
      </c>
      <c r="M27" s="3">
        <v>7</v>
      </c>
    </row>
    <row r="28" spans="4:13" x14ac:dyDescent="0.25">
      <c r="D28" s="4" t="s">
        <v>65</v>
      </c>
      <c r="E28" s="5">
        <v>22</v>
      </c>
      <c r="H28" s="4" t="s">
        <v>65</v>
      </c>
      <c r="I28" s="3">
        <v>35.863636363636367</v>
      </c>
      <c r="L28" s="4" t="s">
        <v>65</v>
      </c>
      <c r="M28" s="3">
        <v>5.666666666666667</v>
      </c>
    </row>
    <row r="29" spans="4:13" x14ac:dyDescent="0.25">
      <c r="D29" s="4" t="s">
        <v>66</v>
      </c>
      <c r="E29" s="5">
        <v>18</v>
      </c>
      <c r="H29" s="4" t="s">
        <v>66</v>
      </c>
      <c r="I29" s="3">
        <v>39.833333333333336</v>
      </c>
      <c r="L29" s="4" t="s">
        <v>66</v>
      </c>
      <c r="M29" s="3">
        <v>3.3333333333333335</v>
      </c>
    </row>
    <row r="30" spans="4:13" x14ac:dyDescent="0.25">
      <c r="D30" s="4" t="s">
        <v>67</v>
      </c>
      <c r="E30" s="5">
        <v>10</v>
      </c>
      <c r="H30" s="4" t="s">
        <v>67</v>
      </c>
      <c r="I30" s="3">
        <v>37</v>
      </c>
      <c r="L30" s="4" t="s">
        <v>67</v>
      </c>
      <c r="M30" s="3">
        <v>4.75</v>
      </c>
    </row>
    <row r="31" spans="4:13" x14ac:dyDescent="0.25">
      <c r="D31" s="4" t="s">
        <v>68</v>
      </c>
      <c r="E31" s="5">
        <v>17</v>
      </c>
      <c r="H31" s="4" t="s">
        <v>68</v>
      </c>
      <c r="I31" s="3">
        <v>39.411764705882355</v>
      </c>
      <c r="L31" s="4" t="s">
        <v>68</v>
      </c>
      <c r="M31" s="3">
        <v>2</v>
      </c>
    </row>
    <row r="32" spans="4:13" x14ac:dyDescent="0.25">
      <c r="D32" s="4" t="s">
        <v>69</v>
      </c>
      <c r="E32" s="5">
        <v>17</v>
      </c>
      <c r="H32" s="4" t="s">
        <v>69</v>
      </c>
      <c r="I32" s="3">
        <v>30.294117647058822</v>
      </c>
      <c r="L32" s="4" t="s">
        <v>69</v>
      </c>
      <c r="M32" s="3">
        <v>9.25</v>
      </c>
    </row>
    <row r="33" spans="1:13" x14ac:dyDescent="0.25">
      <c r="D33" s="4" t="s">
        <v>70</v>
      </c>
      <c r="E33" s="5">
        <v>12</v>
      </c>
      <c r="H33" s="4" t="s">
        <v>70</v>
      </c>
      <c r="I33" s="3">
        <v>32.666666666666664</v>
      </c>
      <c r="L33" s="4" t="s">
        <v>70</v>
      </c>
      <c r="M33" s="3">
        <v>2.6666666666666665</v>
      </c>
    </row>
    <row r="34" spans="1:13" x14ac:dyDescent="0.25">
      <c r="D34" s="4" t="s">
        <v>71</v>
      </c>
      <c r="E34" s="5">
        <v>14</v>
      </c>
      <c r="H34" s="4" t="s">
        <v>71</v>
      </c>
      <c r="I34" s="3">
        <v>30.571428571428573</v>
      </c>
      <c r="L34" s="4" t="s">
        <v>71</v>
      </c>
      <c r="M34" s="3">
        <v>4</v>
      </c>
    </row>
    <row r="35" spans="1:13" x14ac:dyDescent="0.25">
      <c r="D35" s="4" t="s">
        <v>72</v>
      </c>
      <c r="E35" s="5">
        <v>18</v>
      </c>
      <c r="H35" s="4" t="s">
        <v>72</v>
      </c>
      <c r="I35" s="3">
        <v>39.055555555555557</v>
      </c>
      <c r="L35" s="4" t="s">
        <v>72</v>
      </c>
      <c r="M35" s="3">
        <v>8.75</v>
      </c>
    </row>
    <row r="36" spans="1:13" x14ac:dyDescent="0.25">
      <c r="D36" s="4" t="s">
        <v>4</v>
      </c>
      <c r="E36" s="5">
        <v>506</v>
      </c>
      <c r="H36" s="4" t="s">
        <v>4</v>
      </c>
      <c r="I36" s="3">
        <v>35.879446640316203</v>
      </c>
      <c r="L36" s="4" t="s">
        <v>4</v>
      </c>
      <c r="M36" s="3">
        <v>5.3277310924369745</v>
      </c>
    </row>
    <row r="44" spans="1:13" x14ac:dyDescent="0.25">
      <c r="A44" s="2" t="s">
        <v>5</v>
      </c>
      <c r="B44" t="s">
        <v>29</v>
      </c>
      <c r="C44" t="s">
        <v>30</v>
      </c>
    </row>
    <row r="45" spans="1:13" x14ac:dyDescent="0.25">
      <c r="A45" s="4" t="s">
        <v>11</v>
      </c>
      <c r="B45" s="5">
        <v>253</v>
      </c>
      <c r="C45" s="10">
        <v>0.5</v>
      </c>
    </row>
    <row r="46" spans="1:13" x14ac:dyDescent="0.25">
      <c r="A46" s="4" t="s">
        <v>12</v>
      </c>
      <c r="B46" s="5">
        <v>253</v>
      </c>
      <c r="C46" s="10">
        <v>0.5</v>
      </c>
    </row>
    <row r="47" spans="1:13" x14ac:dyDescent="0.25">
      <c r="A47" s="4" t="s">
        <v>4</v>
      </c>
      <c r="B47" s="3">
        <v>506</v>
      </c>
      <c r="C47" s="10">
        <v>1</v>
      </c>
    </row>
    <row r="54" spans="1:4" x14ac:dyDescent="0.25">
      <c r="A54" s="12" t="s">
        <v>13</v>
      </c>
      <c r="B54" s="12" t="s">
        <v>1</v>
      </c>
      <c r="C54" s="12" t="s">
        <v>31</v>
      </c>
      <c r="D54" s="12"/>
    </row>
    <row r="55" spans="1:4" x14ac:dyDescent="0.25">
      <c r="A55" s="13" t="str">
        <f>A46</f>
        <v>Not Admitted</v>
      </c>
      <c r="B55" s="14">
        <f>B46</f>
        <v>253</v>
      </c>
      <c r="C55" s="15">
        <f>C46</f>
        <v>0.5</v>
      </c>
      <c r="D55" s="16"/>
    </row>
    <row r="56" spans="1:4" x14ac:dyDescent="0.25">
      <c r="A56" s="13" t="str">
        <f>A45</f>
        <v>Admitted</v>
      </c>
      <c r="B56" s="14">
        <f>B45</f>
        <v>253</v>
      </c>
      <c r="C56" s="15">
        <f>C45</f>
        <v>0.5</v>
      </c>
      <c r="D56" s="16"/>
    </row>
    <row r="59" spans="1:4" x14ac:dyDescent="0.25">
      <c r="A59" s="11" t="s">
        <v>14</v>
      </c>
      <c r="B59" s="11"/>
      <c r="C59" s="7"/>
    </row>
    <row r="60" spans="1:4" x14ac:dyDescent="0.25">
      <c r="A60" s="2" t="s">
        <v>5</v>
      </c>
      <c r="B60" t="s">
        <v>40</v>
      </c>
    </row>
    <row r="61" spans="1:4" x14ac:dyDescent="0.25">
      <c r="A61" s="4" t="s">
        <v>32</v>
      </c>
      <c r="B61" s="5">
        <v>64</v>
      </c>
    </row>
    <row r="62" spans="1:4" x14ac:dyDescent="0.25">
      <c r="A62" s="4" t="s">
        <v>33</v>
      </c>
      <c r="B62" s="5">
        <v>66</v>
      </c>
    </row>
    <row r="63" spans="1:4" x14ac:dyDescent="0.25">
      <c r="A63" s="4" t="s">
        <v>34</v>
      </c>
      <c r="B63" s="5">
        <v>65</v>
      </c>
    </row>
    <row r="64" spans="1:4" x14ac:dyDescent="0.25">
      <c r="A64" s="4" t="s">
        <v>35</v>
      </c>
      <c r="B64" s="5">
        <v>73</v>
      </c>
    </row>
    <row r="65" spans="1:3" x14ac:dyDescent="0.25">
      <c r="A65" s="4" t="s">
        <v>36</v>
      </c>
      <c r="B65" s="5">
        <v>45</v>
      </c>
    </row>
    <row r="66" spans="1:3" x14ac:dyDescent="0.25">
      <c r="A66" s="4" t="s">
        <v>37</v>
      </c>
      <c r="B66" s="5">
        <v>72</v>
      </c>
    </row>
    <row r="67" spans="1:3" x14ac:dyDescent="0.25">
      <c r="A67" s="4" t="s">
        <v>38</v>
      </c>
      <c r="B67" s="5">
        <v>74</v>
      </c>
    </row>
    <row r="68" spans="1:3" x14ac:dyDescent="0.25">
      <c r="A68" s="4" t="s">
        <v>39</v>
      </c>
      <c r="B68" s="5">
        <v>47</v>
      </c>
    </row>
    <row r="69" spans="1:3" x14ac:dyDescent="0.25">
      <c r="A69" s="4" t="s">
        <v>4</v>
      </c>
      <c r="B69" s="3">
        <v>506</v>
      </c>
    </row>
    <row r="73" spans="1:3" x14ac:dyDescent="0.25">
      <c r="A73" s="2" t="s">
        <v>5</v>
      </c>
      <c r="B73" t="s">
        <v>15</v>
      </c>
    </row>
    <row r="74" spans="1:3" x14ac:dyDescent="0.25">
      <c r="A74" s="4" t="s">
        <v>9</v>
      </c>
      <c r="B74" s="5">
        <v>312</v>
      </c>
      <c r="C74" s="5"/>
    </row>
    <row r="75" spans="1:3" x14ac:dyDescent="0.25">
      <c r="A75" s="4" t="s">
        <v>10</v>
      </c>
      <c r="B75" s="5">
        <v>194</v>
      </c>
      <c r="C75" s="5"/>
    </row>
    <row r="76" spans="1:3" x14ac:dyDescent="0.25">
      <c r="A76" s="4" t="s">
        <v>4</v>
      </c>
      <c r="B76" s="3">
        <v>506</v>
      </c>
      <c r="C76" s="3"/>
    </row>
    <row r="80" spans="1:3" x14ac:dyDescent="0.25">
      <c r="A80" s="2" t="s">
        <v>5</v>
      </c>
      <c r="B80" t="s">
        <v>18</v>
      </c>
    </row>
    <row r="81" spans="1:3" x14ac:dyDescent="0.25">
      <c r="A81" s="4" t="s">
        <v>16</v>
      </c>
      <c r="B81" s="3">
        <v>231</v>
      </c>
      <c r="C81" s="3"/>
    </row>
    <row r="82" spans="1:3" x14ac:dyDescent="0.25">
      <c r="A82" s="4" t="s">
        <v>17</v>
      </c>
      <c r="B82" s="3">
        <v>275</v>
      </c>
      <c r="C82" s="3"/>
    </row>
    <row r="83" spans="1:3" x14ac:dyDescent="0.25">
      <c r="A83" s="4" t="s">
        <v>4</v>
      </c>
      <c r="B83" s="3">
        <v>506</v>
      </c>
      <c r="C83" s="3"/>
    </row>
    <row r="87" spans="1:3" x14ac:dyDescent="0.25">
      <c r="A87" s="2" t="s">
        <v>5</v>
      </c>
      <c r="B87" t="s">
        <v>27</v>
      </c>
    </row>
    <row r="88" spans="1:3" x14ac:dyDescent="0.25">
      <c r="A88" s="4" t="s">
        <v>26</v>
      </c>
      <c r="B88" s="5">
        <v>3</v>
      </c>
      <c r="C88" s="5"/>
    </row>
    <row r="89" spans="1:3" x14ac:dyDescent="0.25">
      <c r="A89" s="4" t="s">
        <v>22</v>
      </c>
      <c r="B89" s="5">
        <v>5</v>
      </c>
      <c r="C89" s="5"/>
    </row>
    <row r="90" spans="1:3" x14ac:dyDescent="0.25">
      <c r="A90" s="4" t="s">
        <v>20</v>
      </c>
      <c r="B90" s="5">
        <v>6</v>
      </c>
      <c r="C90" s="5"/>
    </row>
    <row r="91" spans="1:3" x14ac:dyDescent="0.25">
      <c r="A91" s="4" t="s">
        <v>25</v>
      </c>
      <c r="B91" s="5">
        <v>14</v>
      </c>
      <c r="C91" s="5"/>
    </row>
    <row r="92" spans="1:3" x14ac:dyDescent="0.25">
      <c r="A92" s="4" t="s">
        <v>19</v>
      </c>
      <c r="B92" s="5">
        <v>15</v>
      </c>
      <c r="C92" s="5"/>
    </row>
    <row r="93" spans="1:3" x14ac:dyDescent="0.25">
      <c r="A93" s="4" t="s">
        <v>24</v>
      </c>
      <c r="B93" s="5">
        <v>59</v>
      </c>
      <c r="C93" s="5"/>
    </row>
    <row r="94" spans="1:3" x14ac:dyDescent="0.25">
      <c r="A94" s="4" t="s">
        <v>21</v>
      </c>
      <c r="B94" s="5">
        <v>93</v>
      </c>
      <c r="C94" s="5"/>
    </row>
    <row r="95" spans="1:3" x14ac:dyDescent="0.25">
      <c r="A95" s="4" t="s">
        <v>23</v>
      </c>
      <c r="B95" s="5">
        <v>311</v>
      </c>
      <c r="C95" s="5"/>
    </row>
    <row r="96" spans="1:3" x14ac:dyDescent="0.25">
      <c r="A96" s="4" t="s">
        <v>4</v>
      </c>
      <c r="B96" s="3">
        <v>506</v>
      </c>
      <c r="C96" s="3"/>
    </row>
    <row r="101" spans="1:3" x14ac:dyDescent="0.25">
      <c r="A101" s="2" t="s">
        <v>5</v>
      </c>
      <c r="B101" t="s">
        <v>27</v>
      </c>
    </row>
    <row r="102" spans="1:3" x14ac:dyDescent="0.25">
      <c r="A102" s="4" t="s">
        <v>26</v>
      </c>
      <c r="B102" s="5">
        <v>3</v>
      </c>
      <c r="C102" s="5"/>
    </row>
    <row r="103" spans="1:3" x14ac:dyDescent="0.25">
      <c r="A103" s="4" t="s">
        <v>22</v>
      </c>
      <c r="B103" s="5">
        <v>5</v>
      </c>
      <c r="C103" s="5"/>
    </row>
    <row r="104" spans="1:3" x14ac:dyDescent="0.25">
      <c r="A104" s="4" t="s">
        <v>20</v>
      </c>
      <c r="B104" s="5">
        <v>6</v>
      </c>
      <c r="C104" s="5"/>
    </row>
    <row r="105" spans="1:3" x14ac:dyDescent="0.25">
      <c r="A105" s="4" t="s">
        <v>25</v>
      </c>
      <c r="B105" s="5">
        <v>14</v>
      </c>
      <c r="C105" s="5"/>
    </row>
    <row r="106" spans="1:3" x14ac:dyDescent="0.25">
      <c r="A106" s="4" t="s">
        <v>19</v>
      </c>
      <c r="B106" s="5">
        <v>15</v>
      </c>
      <c r="C106" s="5"/>
    </row>
    <row r="107" spans="1:3" x14ac:dyDescent="0.25">
      <c r="A107" s="4" t="s">
        <v>24</v>
      </c>
      <c r="B107" s="5">
        <v>59</v>
      </c>
      <c r="C107" s="5"/>
    </row>
    <row r="108" spans="1:3" x14ac:dyDescent="0.25">
      <c r="A108" s="4" t="s">
        <v>21</v>
      </c>
      <c r="B108" s="5">
        <v>93</v>
      </c>
      <c r="C108" s="5"/>
    </row>
    <row r="109" spans="1:3" x14ac:dyDescent="0.25">
      <c r="A109" s="4" t="s">
        <v>23</v>
      </c>
      <c r="B109" s="5">
        <v>311</v>
      </c>
      <c r="C109" s="5"/>
    </row>
    <row r="110" spans="1:3" x14ac:dyDescent="0.25">
      <c r="A110" s="4" t="s">
        <v>4</v>
      </c>
      <c r="B110" s="3">
        <v>506</v>
      </c>
      <c r="C110" s="3"/>
    </row>
    <row r="115" spans="1:1" x14ac:dyDescent="0.25">
      <c r="A115" s="2" t="s">
        <v>5</v>
      </c>
    </row>
    <row r="116" spans="1:1" x14ac:dyDescent="0.25">
      <c r="A116" s="4" t="s">
        <v>41</v>
      </c>
    </row>
    <row r="117" spans="1:1" x14ac:dyDescent="0.25">
      <c r="A117" s="4" t="s">
        <v>4</v>
      </c>
    </row>
  </sheetData>
  <mergeCells count="4">
    <mergeCell ref="D3:E3"/>
    <mergeCell ref="H3:I3"/>
    <mergeCell ref="L3:M3"/>
    <mergeCell ref="A59:B59"/>
  </mergeCells>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758A1-4D44-4458-A6A0-F7D94FAC745F}">
  <dimension ref="A1:Q22"/>
  <sheetViews>
    <sheetView showGridLines="0" tabSelected="1" zoomScale="190" zoomScaleNormal="190" workbookViewId="0">
      <selection activeCell="D22" sqref="D22"/>
    </sheetView>
  </sheetViews>
  <sheetFormatPr defaultRowHeight="15" x14ac:dyDescent="0.25"/>
  <sheetData>
    <row r="1" spans="1:17" x14ac:dyDescent="0.25">
      <c r="A1" s="6"/>
      <c r="B1" s="6"/>
      <c r="C1" s="6"/>
      <c r="D1" s="6"/>
      <c r="E1" s="6"/>
      <c r="F1" s="6"/>
      <c r="G1" s="6"/>
      <c r="H1" s="6"/>
      <c r="I1" s="6"/>
      <c r="J1" s="6"/>
      <c r="K1" s="6"/>
      <c r="L1" s="6"/>
      <c r="M1" s="6"/>
      <c r="N1" s="6"/>
      <c r="O1" s="6"/>
      <c r="P1" s="6"/>
      <c r="Q1" s="6"/>
    </row>
    <row r="2" spans="1:17" x14ac:dyDescent="0.25">
      <c r="A2" s="6"/>
      <c r="B2" s="6"/>
      <c r="C2" s="6"/>
      <c r="D2" s="6"/>
      <c r="E2" s="6"/>
      <c r="F2" s="6"/>
      <c r="G2" s="6"/>
      <c r="H2" s="6"/>
      <c r="I2" s="6"/>
      <c r="J2" s="6"/>
      <c r="K2" s="6"/>
      <c r="L2" s="6"/>
      <c r="M2" s="6"/>
      <c r="N2" s="6"/>
      <c r="O2" s="6"/>
      <c r="P2" s="6"/>
      <c r="Q2" s="6"/>
    </row>
    <row r="3" spans="1:17" x14ac:dyDescent="0.25">
      <c r="A3" s="6"/>
      <c r="B3" s="6"/>
      <c r="C3" s="6"/>
      <c r="D3" s="6"/>
      <c r="E3" s="6"/>
      <c r="F3" s="6"/>
      <c r="G3" s="6"/>
      <c r="H3" s="6"/>
      <c r="I3" s="6"/>
      <c r="J3" s="6"/>
      <c r="K3" s="6"/>
      <c r="L3" s="6"/>
      <c r="M3" s="6"/>
      <c r="N3" s="6"/>
      <c r="O3" s="6"/>
      <c r="P3" s="6"/>
      <c r="Q3" s="6"/>
    </row>
    <row r="4" spans="1:17" x14ac:dyDescent="0.25">
      <c r="A4" s="6"/>
      <c r="B4" s="6"/>
      <c r="C4" s="6"/>
      <c r="D4" s="6"/>
      <c r="E4" s="6"/>
      <c r="F4" s="6"/>
      <c r="G4" s="6"/>
      <c r="H4" s="6"/>
      <c r="I4" s="6"/>
      <c r="J4" s="6"/>
      <c r="K4" s="6"/>
      <c r="L4" s="6"/>
      <c r="M4" s="6"/>
      <c r="N4" s="6"/>
      <c r="O4" s="6"/>
      <c r="P4" s="6"/>
      <c r="Q4" s="6"/>
    </row>
    <row r="5" spans="1:17" x14ac:dyDescent="0.25">
      <c r="A5" s="6"/>
      <c r="B5" s="6"/>
      <c r="C5" s="6"/>
      <c r="D5" s="6"/>
      <c r="E5" s="6"/>
      <c r="F5" s="6"/>
      <c r="G5" s="6"/>
      <c r="H5" s="6"/>
      <c r="I5" s="6"/>
      <c r="J5" s="6"/>
      <c r="K5" s="6"/>
      <c r="L5" s="6"/>
      <c r="M5" s="6"/>
      <c r="N5" s="6"/>
      <c r="O5" s="6"/>
      <c r="P5" s="6"/>
      <c r="Q5" s="6"/>
    </row>
    <row r="6" spans="1:17" x14ac:dyDescent="0.25">
      <c r="A6" s="6"/>
      <c r="B6" s="6"/>
      <c r="C6" s="6"/>
      <c r="D6" s="6"/>
      <c r="E6" s="6"/>
      <c r="F6" s="6"/>
      <c r="G6" s="6"/>
      <c r="H6" s="6"/>
      <c r="I6" s="6"/>
      <c r="J6" s="6"/>
      <c r="K6" s="6"/>
      <c r="L6" s="6"/>
      <c r="M6" s="6"/>
      <c r="N6" s="6"/>
      <c r="O6" s="6"/>
      <c r="P6" s="6"/>
      <c r="Q6" s="6"/>
    </row>
    <row r="7" spans="1:17" x14ac:dyDescent="0.25">
      <c r="A7" s="6"/>
      <c r="B7" s="6"/>
      <c r="C7" s="6"/>
      <c r="D7" s="6"/>
      <c r="E7" s="6"/>
      <c r="F7" s="6"/>
      <c r="G7" s="6"/>
      <c r="H7" s="6"/>
      <c r="I7" s="6"/>
      <c r="J7" s="6"/>
      <c r="K7" s="6"/>
      <c r="L7" s="6"/>
      <c r="M7" s="6"/>
      <c r="N7" s="6"/>
      <c r="O7" s="6"/>
      <c r="P7" s="6"/>
      <c r="Q7" s="6"/>
    </row>
    <row r="8" spans="1:17" x14ac:dyDescent="0.25">
      <c r="A8" s="6"/>
      <c r="B8" s="6"/>
      <c r="C8" s="6"/>
      <c r="D8" s="6"/>
      <c r="E8" s="6"/>
      <c r="F8" s="6"/>
      <c r="G8" s="6"/>
      <c r="H8" s="6"/>
      <c r="I8" s="6"/>
      <c r="J8" s="6"/>
      <c r="K8" s="6"/>
      <c r="L8" s="6"/>
      <c r="M8" s="6"/>
      <c r="N8" s="6"/>
      <c r="O8" s="6"/>
      <c r="P8" s="6"/>
      <c r="Q8" s="6"/>
    </row>
    <row r="9" spans="1:17" x14ac:dyDescent="0.25">
      <c r="A9" s="6"/>
      <c r="B9" s="6"/>
      <c r="C9" s="6"/>
      <c r="D9" s="6"/>
      <c r="E9" s="6"/>
      <c r="F9" s="6"/>
      <c r="G9" s="6"/>
      <c r="H9" s="6"/>
      <c r="I9" s="6"/>
      <c r="J9" s="6"/>
      <c r="K9" s="6"/>
      <c r="L9" s="6"/>
      <c r="M9" s="6"/>
      <c r="N9" s="6"/>
      <c r="O9" s="6"/>
      <c r="P9" s="6"/>
      <c r="Q9" s="6"/>
    </row>
    <row r="10" spans="1:17" x14ac:dyDescent="0.25">
      <c r="A10" s="6"/>
      <c r="B10" s="6"/>
      <c r="C10" s="6"/>
      <c r="D10" s="6"/>
      <c r="E10" s="6"/>
      <c r="F10" s="6"/>
      <c r="G10" s="6"/>
      <c r="H10" s="6"/>
      <c r="I10" s="6"/>
      <c r="J10" s="6"/>
      <c r="K10" s="6"/>
      <c r="L10" s="6"/>
      <c r="M10" s="6"/>
      <c r="N10" s="6"/>
      <c r="O10" s="6"/>
      <c r="P10" s="6"/>
      <c r="Q10" s="6"/>
    </row>
    <row r="11" spans="1:17" x14ac:dyDescent="0.25">
      <c r="A11" s="6"/>
      <c r="B11" s="6"/>
      <c r="C11" s="6"/>
      <c r="D11" s="6"/>
      <c r="E11" s="6"/>
      <c r="F11" s="6"/>
      <c r="G11" s="6"/>
      <c r="H11" s="6"/>
      <c r="I11" s="6"/>
      <c r="J11" s="6"/>
      <c r="K11" s="6"/>
      <c r="L11" s="6"/>
      <c r="M11" s="6"/>
      <c r="N11" s="6"/>
      <c r="O11" s="6"/>
      <c r="P11" s="6"/>
      <c r="Q11" s="6"/>
    </row>
    <row r="12" spans="1:17" x14ac:dyDescent="0.25">
      <c r="A12" s="6"/>
      <c r="B12" s="6"/>
      <c r="C12" s="6"/>
      <c r="D12" s="6"/>
      <c r="E12" s="6"/>
      <c r="F12" s="6"/>
      <c r="G12" s="6"/>
      <c r="H12" s="6"/>
      <c r="I12" s="6"/>
      <c r="J12" s="6"/>
      <c r="K12" s="6"/>
      <c r="L12" s="6"/>
      <c r="M12" s="6"/>
      <c r="N12" s="6"/>
      <c r="O12" s="6"/>
      <c r="P12" s="6"/>
      <c r="Q12" s="6"/>
    </row>
    <row r="13" spans="1:17" x14ac:dyDescent="0.25">
      <c r="A13" s="6"/>
      <c r="B13" s="6"/>
      <c r="C13" s="6"/>
      <c r="D13" s="6"/>
      <c r="E13" s="6"/>
      <c r="F13" s="6"/>
      <c r="G13" s="6"/>
      <c r="H13" s="6"/>
      <c r="I13" s="6"/>
      <c r="J13" s="6"/>
      <c r="K13" s="6"/>
      <c r="L13" s="6"/>
      <c r="M13" s="6"/>
      <c r="N13" s="6"/>
      <c r="O13" s="6"/>
      <c r="P13" s="6"/>
      <c r="Q13" s="6"/>
    </row>
    <row r="14" spans="1:17" x14ac:dyDescent="0.25">
      <c r="A14" s="6"/>
      <c r="B14" s="6"/>
      <c r="C14" s="6"/>
      <c r="D14" s="6"/>
      <c r="E14" s="6"/>
      <c r="F14" s="6"/>
      <c r="G14" s="6"/>
      <c r="H14" s="6"/>
      <c r="I14" s="6"/>
      <c r="J14" s="6"/>
      <c r="K14" s="6"/>
      <c r="L14" s="6"/>
      <c r="M14" s="6"/>
      <c r="N14" s="6"/>
      <c r="O14" s="6"/>
      <c r="P14" s="6"/>
      <c r="Q14" s="6"/>
    </row>
    <row r="15" spans="1:17" x14ac:dyDescent="0.25">
      <c r="A15" s="6"/>
      <c r="B15" s="6"/>
      <c r="C15" s="6"/>
      <c r="D15" s="6"/>
      <c r="E15" s="6"/>
      <c r="F15" s="6"/>
      <c r="G15" s="6"/>
      <c r="H15" s="6"/>
      <c r="I15" s="6"/>
      <c r="J15" s="6"/>
      <c r="K15" s="6"/>
      <c r="L15" s="6"/>
      <c r="M15" s="6"/>
      <c r="N15" s="6"/>
      <c r="O15" s="6"/>
      <c r="P15" s="6"/>
      <c r="Q15" s="6"/>
    </row>
    <row r="16" spans="1:17" x14ac:dyDescent="0.25">
      <c r="A16" s="6"/>
      <c r="B16" s="6"/>
      <c r="C16" s="6"/>
      <c r="D16" s="6"/>
      <c r="E16" s="6"/>
      <c r="F16" s="6"/>
      <c r="G16" s="6"/>
      <c r="H16" s="6"/>
      <c r="I16" s="6"/>
      <c r="J16" s="6"/>
      <c r="K16" s="6"/>
      <c r="L16" s="6"/>
      <c r="M16" s="6"/>
      <c r="N16" s="6"/>
      <c r="O16" s="6"/>
      <c r="P16" s="6"/>
      <c r="Q16" s="6"/>
    </row>
    <row r="17" spans="1:17" x14ac:dyDescent="0.25">
      <c r="A17" s="6"/>
      <c r="B17" s="6"/>
      <c r="C17" s="6"/>
      <c r="D17" s="6"/>
      <c r="E17" s="6"/>
      <c r="F17" s="6"/>
      <c r="G17" s="6"/>
      <c r="H17" s="6"/>
      <c r="I17" s="6"/>
      <c r="J17" s="6"/>
      <c r="K17" s="6"/>
      <c r="L17" s="6"/>
      <c r="M17" s="6"/>
      <c r="N17" s="6"/>
      <c r="O17" s="6"/>
      <c r="P17" s="6"/>
      <c r="Q17" s="6"/>
    </row>
    <row r="18" spans="1:17" x14ac:dyDescent="0.25">
      <c r="A18" s="6"/>
      <c r="B18" s="6"/>
      <c r="C18" s="6"/>
      <c r="D18" s="6"/>
      <c r="E18" s="6"/>
      <c r="F18" s="6"/>
      <c r="G18" s="6"/>
      <c r="H18" s="6"/>
      <c r="I18" s="6"/>
      <c r="J18" s="6"/>
      <c r="K18" s="6"/>
      <c r="L18" s="6"/>
      <c r="M18" s="6"/>
      <c r="N18" s="6"/>
      <c r="O18" s="6"/>
      <c r="P18" s="6"/>
      <c r="Q18" s="6"/>
    </row>
    <row r="19" spans="1:17" x14ac:dyDescent="0.25">
      <c r="A19" s="6"/>
      <c r="B19" s="6"/>
      <c r="C19" s="6"/>
      <c r="D19" s="6"/>
      <c r="E19" s="6"/>
      <c r="F19" s="6"/>
      <c r="G19" s="6"/>
      <c r="H19" s="6"/>
      <c r="I19" s="6"/>
      <c r="J19" s="6"/>
      <c r="K19" s="6"/>
      <c r="L19" s="6"/>
      <c r="M19" s="6"/>
      <c r="N19" s="6"/>
      <c r="O19" s="6"/>
      <c r="P19" s="6"/>
      <c r="Q19" s="6"/>
    </row>
    <row r="20" spans="1:17" x14ac:dyDescent="0.25">
      <c r="A20" s="6"/>
      <c r="B20" s="6"/>
      <c r="C20" s="6"/>
      <c r="D20" s="6"/>
      <c r="E20" s="6"/>
      <c r="F20" s="6"/>
      <c r="G20" s="6"/>
      <c r="H20" s="6"/>
      <c r="I20" s="6"/>
      <c r="J20" s="6"/>
      <c r="K20" s="6"/>
      <c r="L20" s="6"/>
      <c r="M20" s="6"/>
      <c r="N20" s="6"/>
      <c r="O20" s="6"/>
      <c r="P20" s="6"/>
      <c r="Q20" s="6"/>
    </row>
    <row r="21" spans="1:17" x14ac:dyDescent="0.25">
      <c r="A21" s="6"/>
      <c r="B21" s="6"/>
      <c r="C21" s="6"/>
      <c r="D21" s="6"/>
      <c r="E21" s="6"/>
      <c r="F21" s="6"/>
      <c r="G21" s="6"/>
      <c r="H21" s="6"/>
      <c r="I21" s="6"/>
      <c r="J21" s="6"/>
      <c r="K21" s="6"/>
      <c r="L21" s="6"/>
      <c r="M21" s="6"/>
      <c r="N21" s="6"/>
      <c r="O21" s="6"/>
      <c r="P21" s="6"/>
      <c r="Q21" s="6"/>
    </row>
    <row r="22" spans="1:17" x14ac:dyDescent="0.25">
      <c r="A22" s="6"/>
      <c r="B22" s="6"/>
      <c r="C22" s="6"/>
      <c r="D22" s="6"/>
      <c r="E22" s="6"/>
      <c r="F22" s="6"/>
      <c r="G22" s="6"/>
      <c r="H22" s="6"/>
      <c r="I22" s="6"/>
      <c r="J22" s="6"/>
      <c r="K22" s="6"/>
      <c r="L22" s="6"/>
      <c r="M22" s="6"/>
      <c r="N22" s="6"/>
      <c r="O22" s="6"/>
      <c r="P22" s="6"/>
      <c r="Q22" s="6"/>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E6CD5-AB6F-49A9-B05B-70C4D72A772E}">
  <dimension ref="A1:A40"/>
  <sheetViews>
    <sheetView workbookViewId="0"/>
  </sheetViews>
  <sheetFormatPr defaultRowHeight="15" x14ac:dyDescent="0.25"/>
  <sheetData>
    <row r="1" s="8" customFormat="1" x14ac:dyDescent="0.25"/>
    <row r="2" s="8" customFormat="1" x14ac:dyDescent="0.25"/>
    <row r="3" s="8" customFormat="1" x14ac:dyDescent="0.25"/>
    <row r="4" s="8" customFormat="1" x14ac:dyDescent="0.25"/>
    <row r="5" s="8" customFormat="1" x14ac:dyDescent="0.25"/>
    <row r="6" s="8" customFormat="1" x14ac:dyDescent="0.25"/>
    <row r="7" s="8" customFormat="1" x14ac:dyDescent="0.25"/>
    <row r="8" s="8" customFormat="1" x14ac:dyDescent="0.25"/>
    <row r="9" s="8" customFormat="1" x14ac:dyDescent="0.25"/>
    <row r="10" s="8" customFormat="1" x14ac:dyDescent="0.25"/>
    <row r="11" s="8" customFormat="1" x14ac:dyDescent="0.25"/>
    <row r="12" s="8" customFormat="1" x14ac:dyDescent="0.25"/>
    <row r="13" s="8" customFormat="1" x14ac:dyDescent="0.25"/>
    <row r="14" s="8" customFormat="1" x14ac:dyDescent="0.25"/>
    <row r="15" s="8" customFormat="1" x14ac:dyDescent="0.25"/>
    <row r="16" s="8" customFormat="1" x14ac:dyDescent="0.25"/>
    <row r="17" s="8" customFormat="1" x14ac:dyDescent="0.25"/>
    <row r="18" s="8" customFormat="1" x14ac:dyDescent="0.25"/>
    <row r="19" s="8" customFormat="1" x14ac:dyDescent="0.25"/>
    <row r="20" s="8" customFormat="1" x14ac:dyDescent="0.25"/>
    <row r="21" s="8" customFormat="1" x14ac:dyDescent="0.25"/>
    <row r="22" s="8" customFormat="1" x14ac:dyDescent="0.25"/>
    <row r="23" s="8" customFormat="1" x14ac:dyDescent="0.25"/>
    <row r="24" s="8" customFormat="1" x14ac:dyDescent="0.25"/>
    <row r="25" s="8" customFormat="1" x14ac:dyDescent="0.25"/>
    <row r="26" s="8" customFormat="1" x14ac:dyDescent="0.25"/>
    <row r="27" s="8" customFormat="1" x14ac:dyDescent="0.25"/>
    <row r="28" s="8" customFormat="1" x14ac:dyDescent="0.25"/>
    <row r="29" s="8" customFormat="1" x14ac:dyDescent="0.25"/>
    <row r="30" s="8" customFormat="1" x14ac:dyDescent="0.25"/>
    <row r="31" s="8" customFormat="1" x14ac:dyDescent="0.25"/>
    <row r="32" s="8" customFormat="1" x14ac:dyDescent="0.25"/>
    <row r="33" s="8" customFormat="1" x14ac:dyDescent="0.25"/>
    <row r="34" s="8" customFormat="1" x14ac:dyDescent="0.25"/>
    <row r="35" s="8" customFormat="1" x14ac:dyDescent="0.25"/>
    <row r="36" s="8" customFormat="1" x14ac:dyDescent="0.25"/>
    <row r="37" s="8" customFormat="1" x14ac:dyDescent="0.25"/>
    <row r="38" s="8" customFormat="1" x14ac:dyDescent="0.25"/>
    <row r="39" s="8" customFormat="1" x14ac:dyDescent="0.25"/>
    <row r="40" s="8" customFormat="1"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A5C82-782B-49B0-A0FF-F00689EE6C83}">
  <dimension ref="A1:Z43"/>
  <sheetViews>
    <sheetView workbookViewId="0">
      <selection activeCell="M33" sqref="M33"/>
    </sheetView>
  </sheetViews>
  <sheetFormatPr defaultRowHeight="15" x14ac:dyDescent="0.25"/>
  <sheetData>
    <row r="1" spans="1:26" x14ac:dyDescent="0.25">
      <c r="A1" s="8"/>
      <c r="B1" s="8"/>
      <c r="C1" s="8"/>
      <c r="D1" s="8"/>
      <c r="E1" s="8"/>
      <c r="F1" s="8"/>
      <c r="G1" s="8"/>
      <c r="H1" s="8"/>
      <c r="I1" s="8"/>
      <c r="J1" s="8"/>
      <c r="K1" s="8"/>
      <c r="L1" s="8"/>
      <c r="M1" s="8"/>
      <c r="N1" s="8"/>
      <c r="O1" s="8"/>
      <c r="P1" s="8"/>
      <c r="Q1" s="8"/>
      <c r="R1" s="8"/>
      <c r="S1" s="8"/>
      <c r="T1" s="8"/>
      <c r="U1" s="8"/>
      <c r="V1" s="8"/>
      <c r="W1" s="8"/>
      <c r="X1" s="8"/>
      <c r="Y1" s="8"/>
      <c r="Z1" s="8"/>
    </row>
    <row r="2" spans="1:26" x14ac:dyDescent="0.25">
      <c r="A2" s="8"/>
      <c r="B2" s="8"/>
      <c r="C2" s="8"/>
      <c r="D2" s="8"/>
      <c r="E2" s="8"/>
      <c r="F2" s="8"/>
      <c r="G2" s="8"/>
      <c r="H2" s="8"/>
      <c r="I2" s="8"/>
      <c r="J2" s="8"/>
      <c r="K2" s="8"/>
      <c r="L2" s="8"/>
      <c r="M2" s="8"/>
      <c r="N2" s="8"/>
      <c r="O2" s="8"/>
      <c r="P2" s="8"/>
      <c r="Q2" s="8"/>
      <c r="R2" s="8"/>
      <c r="S2" s="8"/>
      <c r="T2" s="8"/>
      <c r="U2" s="8"/>
      <c r="V2" s="8"/>
      <c r="W2" s="8"/>
      <c r="X2" s="8"/>
      <c r="Y2" s="8"/>
      <c r="Z2" s="8"/>
    </row>
    <row r="3" spans="1:26" x14ac:dyDescent="0.25">
      <c r="A3" s="8"/>
      <c r="B3" s="8"/>
      <c r="C3" s="8"/>
      <c r="D3" s="8"/>
      <c r="E3" s="8"/>
      <c r="F3" s="8"/>
      <c r="G3" s="8"/>
      <c r="H3" s="8"/>
      <c r="I3" s="8"/>
      <c r="J3" s="8"/>
      <c r="K3" s="8"/>
      <c r="L3" s="8"/>
      <c r="M3" s="8"/>
      <c r="N3" s="8"/>
      <c r="O3" s="8"/>
      <c r="P3" s="8"/>
      <c r="Q3" s="8"/>
      <c r="R3" s="8"/>
      <c r="S3" s="8"/>
      <c r="T3" s="8"/>
      <c r="U3" s="8"/>
      <c r="V3" s="8"/>
      <c r="W3" s="8"/>
      <c r="X3" s="8"/>
      <c r="Y3" s="8"/>
      <c r="Z3" s="8"/>
    </row>
    <row r="4" spans="1:26" x14ac:dyDescent="0.25">
      <c r="A4" s="8"/>
      <c r="B4" s="8"/>
      <c r="C4" s="8"/>
      <c r="D4" s="8"/>
      <c r="E4" s="8"/>
      <c r="F4" s="8"/>
      <c r="G4" s="8"/>
      <c r="H4" s="8"/>
      <c r="I4" s="8"/>
      <c r="J4" s="8"/>
      <c r="K4" s="8"/>
      <c r="L4" s="8"/>
      <c r="M4" s="8"/>
      <c r="N4" s="8"/>
      <c r="O4" s="8"/>
      <c r="P4" s="8"/>
      <c r="Q4" s="8"/>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8"/>
      <c r="J6" s="8"/>
      <c r="K6" s="8"/>
      <c r="L6" s="8"/>
      <c r="M6" s="8"/>
      <c r="N6" s="8"/>
      <c r="O6" s="8"/>
      <c r="P6" s="8"/>
      <c r="Q6" s="8"/>
      <c r="R6" s="8"/>
      <c r="S6" s="8"/>
      <c r="T6" s="8"/>
      <c r="U6" s="8"/>
      <c r="V6" s="8"/>
      <c r="W6" s="8"/>
      <c r="X6" s="8"/>
      <c r="Y6" s="8"/>
      <c r="Z6" s="8"/>
    </row>
    <row r="7" spans="1:26" x14ac:dyDescent="0.25">
      <c r="A7" s="8"/>
      <c r="B7" s="8"/>
      <c r="C7" s="8"/>
      <c r="D7" s="8"/>
      <c r="E7" s="8"/>
      <c r="F7" s="8"/>
      <c r="G7" s="8"/>
      <c r="H7" s="8"/>
      <c r="I7" s="8"/>
      <c r="J7" s="8"/>
      <c r="K7" s="8"/>
      <c r="L7" s="8"/>
      <c r="M7" s="8"/>
      <c r="N7" s="8"/>
      <c r="O7" s="8"/>
      <c r="P7" s="8"/>
      <c r="Q7" s="8"/>
      <c r="R7" s="8"/>
      <c r="S7" s="8"/>
      <c r="T7" s="8"/>
      <c r="U7" s="8"/>
      <c r="V7" s="8"/>
      <c r="W7" s="8"/>
      <c r="X7" s="8"/>
      <c r="Y7" s="8"/>
      <c r="Z7" s="8"/>
    </row>
    <row r="8" spans="1:26" x14ac:dyDescent="0.25">
      <c r="A8" s="8"/>
      <c r="B8" s="8"/>
      <c r="C8" s="8"/>
      <c r="D8" s="8"/>
      <c r="E8" s="8"/>
      <c r="F8" s="8"/>
      <c r="G8" s="8"/>
      <c r="H8" s="8"/>
      <c r="I8" s="8"/>
      <c r="J8" s="8"/>
      <c r="K8" s="8"/>
      <c r="L8" s="8"/>
      <c r="M8" s="8"/>
      <c r="N8" s="8"/>
      <c r="O8" s="8"/>
      <c r="P8" s="8"/>
      <c r="Q8" s="8"/>
      <c r="R8" s="8"/>
      <c r="S8" s="8"/>
      <c r="T8" s="8"/>
      <c r="U8" s="8"/>
      <c r="V8" s="8"/>
      <c r="W8" s="8"/>
      <c r="X8" s="8"/>
      <c r="Y8" s="8"/>
      <c r="Z8" s="8"/>
    </row>
    <row r="9" spans="1:26" x14ac:dyDescent="0.25">
      <c r="A9" s="8"/>
      <c r="B9" s="8"/>
      <c r="C9" s="8"/>
      <c r="D9" s="8"/>
      <c r="E9" s="8"/>
      <c r="F9" s="8"/>
      <c r="G9" s="8"/>
      <c r="H9" s="8"/>
      <c r="I9" s="8"/>
      <c r="J9" s="8"/>
      <c r="K9" s="8"/>
      <c r="L9" s="8"/>
      <c r="M9" s="8"/>
      <c r="N9" s="8"/>
      <c r="O9" s="8"/>
      <c r="P9" s="8"/>
      <c r="Q9" s="8"/>
      <c r="R9" s="8"/>
      <c r="S9" s="8"/>
      <c r="T9" s="8"/>
      <c r="U9" s="8"/>
      <c r="V9" s="8"/>
      <c r="W9" s="8"/>
      <c r="X9" s="8"/>
      <c r="Y9" s="8"/>
      <c r="Z9" s="8"/>
    </row>
    <row r="10" spans="1:26"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9"/>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A32" s="8"/>
      <c r="B32" s="8"/>
      <c r="C32" s="8"/>
      <c r="D32" s="8"/>
      <c r="E32" s="8"/>
      <c r="F32" s="8"/>
      <c r="G32" s="9"/>
      <c r="H32" s="8"/>
      <c r="I32" s="8"/>
      <c r="J32" s="8"/>
      <c r="K32" s="8"/>
      <c r="L32" s="8"/>
      <c r="M32" s="8"/>
      <c r="N32" s="8"/>
      <c r="O32" s="8"/>
      <c r="P32" s="8"/>
      <c r="Q32" s="8"/>
      <c r="R32" s="8"/>
      <c r="S32" s="8"/>
      <c r="T32" s="8"/>
      <c r="U32" s="8"/>
      <c r="V32" s="8"/>
      <c r="W32" s="8"/>
      <c r="X32" s="8"/>
      <c r="Y32" s="8"/>
      <c r="Z32" s="8"/>
    </row>
    <row r="33" spans="1:2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A38" s="8"/>
      <c r="B38" s="8"/>
      <c r="C38" s="8"/>
      <c r="D38" s="8"/>
      <c r="E38" s="9"/>
      <c r="F38" s="8"/>
      <c r="G38" s="8"/>
      <c r="H38" s="8"/>
      <c r="I38" s="8"/>
      <c r="J38" s="8"/>
      <c r="K38" s="8"/>
      <c r="L38" s="8"/>
      <c r="M38" s="8"/>
      <c r="N38" s="8"/>
      <c r="O38" s="8"/>
      <c r="P38" s="8"/>
      <c r="Q38" s="8"/>
      <c r="R38" s="8"/>
      <c r="S38" s="8"/>
      <c r="T38" s="8"/>
      <c r="U38" s="8"/>
      <c r="V38" s="8"/>
      <c r="W38" s="8"/>
      <c r="X38" s="8"/>
      <c r="Y38" s="8"/>
      <c r="Z38" s="8"/>
    </row>
    <row r="39" spans="1:26"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0C9C8-83D4-486B-9991-704C8E894A5D}">
  <dimension ref="A1:Z59"/>
  <sheetViews>
    <sheetView zoomScale="120" zoomScaleNormal="120" workbookViewId="0"/>
  </sheetViews>
  <sheetFormatPr defaultRowHeight="15" x14ac:dyDescent="0.25"/>
  <sheetData>
    <row r="1" spans="1:26" x14ac:dyDescent="0.25">
      <c r="A1" s="8"/>
      <c r="B1" s="8"/>
      <c r="C1" s="8"/>
      <c r="D1" s="8"/>
      <c r="E1" s="8"/>
      <c r="F1" s="8"/>
      <c r="G1" s="8"/>
      <c r="H1" s="8"/>
      <c r="I1" s="8"/>
      <c r="J1" s="8"/>
      <c r="K1" s="8"/>
      <c r="L1" s="8"/>
      <c r="M1" s="8"/>
      <c r="N1" s="8"/>
      <c r="O1" s="8"/>
      <c r="P1" s="8"/>
      <c r="Q1" s="8"/>
      <c r="R1" s="8"/>
      <c r="S1" s="8"/>
      <c r="T1" s="8"/>
      <c r="U1" s="8"/>
      <c r="V1" s="8"/>
      <c r="W1" s="8"/>
      <c r="X1" s="8"/>
      <c r="Y1" s="8"/>
      <c r="Z1" s="8"/>
    </row>
    <row r="2" spans="1:26" x14ac:dyDescent="0.25">
      <c r="A2" s="8"/>
      <c r="B2" s="8"/>
      <c r="C2" s="8"/>
      <c r="D2" s="8"/>
      <c r="E2" s="8"/>
      <c r="F2" s="8"/>
      <c r="G2" s="8"/>
      <c r="H2" s="8"/>
      <c r="I2" s="8"/>
      <c r="J2" s="8"/>
      <c r="K2" s="8"/>
      <c r="L2" s="8"/>
      <c r="M2" s="8"/>
      <c r="N2" s="8"/>
      <c r="O2" s="8"/>
      <c r="P2" s="8"/>
      <c r="Q2" s="8"/>
      <c r="R2" s="8"/>
      <c r="S2" s="8"/>
      <c r="T2" s="8"/>
      <c r="U2" s="8"/>
      <c r="V2" s="8"/>
      <c r="W2" s="8"/>
      <c r="X2" s="8"/>
      <c r="Y2" s="8"/>
      <c r="Z2" s="8"/>
    </row>
    <row r="3" spans="1:26" x14ac:dyDescent="0.25">
      <c r="A3" s="8"/>
      <c r="B3" s="8"/>
      <c r="C3" s="8"/>
      <c r="D3" s="8"/>
      <c r="E3" s="8"/>
      <c r="F3" s="8"/>
      <c r="G3" s="8"/>
      <c r="H3" s="8"/>
      <c r="I3" s="8"/>
      <c r="J3" s="8"/>
      <c r="K3" s="8"/>
      <c r="L3" s="8"/>
      <c r="M3" s="8"/>
      <c r="N3" s="8"/>
      <c r="O3" s="8"/>
      <c r="P3" s="8"/>
      <c r="Q3" s="8"/>
      <c r="R3" s="8"/>
      <c r="S3" s="8"/>
      <c r="T3" s="8"/>
      <c r="U3" s="8"/>
      <c r="V3" s="8"/>
      <c r="W3" s="8"/>
      <c r="X3" s="8"/>
      <c r="Y3" s="8"/>
      <c r="Z3" s="8"/>
    </row>
    <row r="4" spans="1:26" x14ac:dyDescent="0.25">
      <c r="A4" s="8"/>
      <c r="B4" s="8"/>
      <c r="C4" s="8"/>
      <c r="D4" s="8"/>
      <c r="E4" s="8"/>
      <c r="F4" s="8"/>
      <c r="G4" s="8"/>
      <c r="H4" s="8"/>
      <c r="I4" s="8"/>
      <c r="J4" s="8"/>
      <c r="K4" s="8"/>
      <c r="L4" s="8"/>
      <c r="M4" s="8"/>
      <c r="N4" s="8"/>
      <c r="O4" s="8"/>
      <c r="P4" s="8"/>
      <c r="Q4" s="8"/>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8"/>
      <c r="J6" s="8"/>
      <c r="K6" s="8"/>
      <c r="L6" s="8"/>
      <c r="M6" s="8"/>
      <c r="N6" s="8"/>
      <c r="O6" s="8"/>
      <c r="P6" s="8"/>
      <c r="Q6" s="8"/>
      <c r="R6" s="8"/>
      <c r="S6" s="8"/>
      <c r="T6" s="8"/>
      <c r="U6" s="8"/>
      <c r="V6" s="8"/>
      <c r="W6" s="8"/>
      <c r="X6" s="8"/>
      <c r="Y6" s="8"/>
      <c r="Z6" s="8"/>
    </row>
    <row r="7" spans="1:26" x14ac:dyDescent="0.25">
      <c r="A7" s="8"/>
      <c r="B7" s="8"/>
      <c r="C7" s="8"/>
      <c r="D7" s="8"/>
      <c r="E7" s="8"/>
      <c r="F7" s="8"/>
      <c r="G7" s="8"/>
      <c r="H7" s="8"/>
      <c r="I7" s="8"/>
      <c r="J7" s="8"/>
      <c r="K7" s="8"/>
      <c r="L7" s="8"/>
      <c r="M7" s="8"/>
      <c r="N7" s="8"/>
      <c r="O7" s="8"/>
      <c r="P7" s="8"/>
      <c r="Q7" s="8"/>
      <c r="R7" s="8"/>
      <c r="S7" s="8"/>
      <c r="T7" s="8"/>
      <c r="U7" s="8"/>
      <c r="V7" s="8"/>
      <c r="W7" s="8"/>
      <c r="X7" s="8"/>
      <c r="Y7" s="8"/>
      <c r="Z7" s="8"/>
    </row>
    <row r="8" spans="1:26" x14ac:dyDescent="0.25">
      <c r="A8" s="8"/>
      <c r="B8" s="8"/>
      <c r="C8" s="8"/>
      <c r="D8" s="8"/>
      <c r="E8" s="8"/>
      <c r="F8" s="8"/>
      <c r="G8" s="8"/>
      <c r="H8" s="8"/>
      <c r="I8" s="8"/>
      <c r="J8" s="8"/>
      <c r="K8" s="8"/>
      <c r="L8" s="8"/>
      <c r="M8" s="8"/>
      <c r="N8" s="8"/>
      <c r="O8" s="8"/>
      <c r="P8" s="8"/>
      <c r="Q8" s="8"/>
      <c r="R8" s="8"/>
      <c r="S8" s="8"/>
      <c r="T8" s="8"/>
      <c r="U8" s="8"/>
      <c r="V8" s="8"/>
      <c r="W8" s="8"/>
      <c r="X8" s="8"/>
      <c r="Y8" s="8"/>
      <c r="Z8" s="8"/>
    </row>
    <row r="9" spans="1:26" x14ac:dyDescent="0.25">
      <c r="A9" s="8"/>
      <c r="B9" s="8"/>
      <c r="C9" s="8"/>
      <c r="D9" s="8"/>
      <c r="E9" s="8"/>
      <c r="F9" s="8"/>
      <c r="G9" s="8"/>
      <c r="H9" s="8"/>
      <c r="I9" s="8"/>
      <c r="J9" s="8"/>
      <c r="K9" s="8"/>
      <c r="L9" s="8"/>
      <c r="M9" s="8"/>
      <c r="N9" s="8"/>
      <c r="O9" s="8"/>
      <c r="P9" s="8"/>
      <c r="Q9" s="8"/>
      <c r="R9" s="8"/>
      <c r="S9" s="8"/>
      <c r="T9" s="8"/>
      <c r="U9" s="8"/>
      <c r="V9" s="8"/>
      <c r="W9" s="8"/>
      <c r="X9" s="8"/>
      <c r="Y9" s="8"/>
      <c r="Z9" s="8"/>
    </row>
    <row r="10" spans="1:26" x14ac:dyDescent="0.2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DA636A6-1357-4E5F-9908-FF38C2C0D429}">
  <ds:schemaRefs/>
</ds:datastoreItem>
</file>

<file path=customXml/itemProps2.xml><?xml version="1.0" encoding="utf-8"?>
<ds:datastoreItem xmlns:ds="http://schemas.openxmlformats.org/officeDocument/2006/customXml" ds:itemID="{FBD0F7A7-E30A-4197-9593-FB421674D364}">
  <ds:schemaRefs/>
</ds:datastoreItem>
</file>

<file path=customXml/itemProps3.xml><?xml version="1.0" encoding="utf-8"?>
<ds:datastoreItem xmlns:ds="http://schemas.openxmlformats.org/officeDocument/2006/customXml" ds:itemID="{A6F1D94D-5C22-4A45-BB3A-C7B853A6AC33}">
  <ds:schemaRefs>
    <ds:schemaRef ds:uri="http://schemas.microsoft.com/DataMashup"/>
  </ds:schemaRefs>
</ds:datastoreItem>
</file>

<file path=customXml/itemProps4.xml><?xml version="1.0" encoding="utf-8"?>
<ds:datastoreItem xmlns:ds="http://schemas.openxmlformats.org/officeDocument/2006/customXml" ds:itemID="{06C0B9B3-BF8B-448F-846B-DCCA3428894B}">
  <ds:schemaRefs/>
</ds:datastoreItem>
</file>

<file path=customXml/itemProps5.xml><?xml version="1.0" encoding="utf-8"?>
<ds:datastoreItem xmlns:ds="http://schemas.openxmlformats.org/officeDocument/2006/customXml" ds:itemID="{EBDE2BBD-C99C-4F02-A474-E6C6DD5B0FD6}">
  <ds:schemaRefs/>
</ds:datastoreItem>
</file>

<file path=customXml/itemProps6.xml><?xml version="1.0" encoding="utf-8"?>
<ds:datastoreItem xmlns:ds="http://schemas.openxmlformats.org/officeDocument/2006/customXml" ds:itemID="{C14ADB73-C505-43D1-8E61-F40165F45CF1}">
  <ds:schemaRefs/>
</ds:datastoreItem>
</file>

<file path=customXml/itemProps7.xml><?xml version="1.0" encoding="utf-8"?>
<ds:datastoreItem xmlns:ds="http://schemas.openxmlformats.org/officeDocument/2006/customXml" ds:itemID="{B365DE3F-96C6-45F4-BE86-75F74E20D67F}">
  <ds:schemaRefs/>
</ds:datastoreItem>
</file>

<file path=customXml/itemProps8.xml><?xml version="1.0" encoding="utf-8"?>
<ds:datastoreItem xmlns:ds="http://schemas.openxmlformats.org/officeDocument/2006/customXml" ds:itemID="{99413416-DB22-4A48-92D8-C82C4A58E157}">
  <ds:schemaRefs/>
</ds:datastoreItem>
</file>

<file path=customXml/itemProps9.xml><?xml version="1.0" encoding="utf-8"?>
<ds:datastoreItem xmlns:ds="http://schemas.openxmlformats.org/officeDocument/2006/customXml" ds:itemID="{8DACF4F8-50A3-4D13-AFA7-683694297957}">
  <ds:schemaRefs/>
</ds:datastoreItem>
</file>

<file path=customXml/itemProps10.xml><?xml version="1.0" encoding="utf-8"?>
<ds:datastoreItem xmlns:ds="http://schemas.openxmlformats.org/officeDocument/2006/customXml" ds:itemID="{2EDF900B-56A4-42F5-8DCD-04C4CFDF2BE6}">
  <ds:schemaRefs/>
</ds:datastoreItem>
</file>

<file path=customXml/itemProps11.xml><?xml version="1.0" encoding="utf-8"?>
<ds:datastoreItem xmlns:ds="http://schemas.openxmlformats.org/officeDocument/2006/customXml" ds:itemID="{6093FDEA-3CDE-4C5B-99B0-30541D5876D5}">
  <ds:schemaRefs/>
</ds:datastoreItem>
</file>

<file path=customXml/itemProps12.xml><?xml version="1.0" encoding="utf-8"?>
<ds:datastoreItem xmlns:ds="http://schemas.openxmlformats.org/officeDocument/2006/customXml" ds:itemID="{24E985F9-27D2-49DE-ADD7-2876B7BFEDB6}">
  <ds:schemaRefs/>
</ds:datastoreItem>
</file>

<file path=customXml/itemProps13.xml><?xml version="1.0" encoding="utf-8"?>
<ds:datastoreItem xmlns:ds="http://schemas.openxmlformats.org/officeDocument/2006/customXml" ds:itemID="{DB7A3EDE-C771-4418-885C-F4CCB887EDC6}">
  <ds:schemaRefs/>
</ds:datastoreItem>
</file>

<file path=customXml/itemProps14.xml><?xml version="1.0" encoding="utf-8"?>
<ds:datastoreItem xmlns:ds="http://schemas.openxmlformats.org/officeDocument/2006/customXml" ds:itemID="{11005CBA-BA52-45A6-94C8-076C68F65380}">
  <ds:schemaRefs/>
</ds:datastoreItem>
</file>

<file path=customXml/itemProps15.xml><?xml version="1.0" encoding="utf-8"?>
<ds:datastoreItem xmlns:ds="http://schemas.openxmlformats.org/officeDocument/2006/customXml" ds:itemID="{FF215192-A40D-457D-9D1C-661DF63474D9}">
  <ds:schemaRefs/>
</ds:datastoreItem>
</file>

<file path=customXml/itemProps16.xml><?xml version="1.0" encoding="utf-8"?>
<ds:datastoreItem xmlns:ds="http://schemas.openxmlformats.org/officeDocument/2006/customXml" ds:itemID="{62AB2DB7-8810-443B-9DE7-0869C27D263B}">
  <ds:schemaRefs/>
</ds:datastoreItem>
</file>

<file path=customXml/itemProps17.xml><?xml version="1.0" encoding="utf-8"?>
<ds:datastoreItem xmlns:ds="http://schemas.openxmlformats.org/officeDocument/2006/customXml" ds:itemID="{FDDFE8B4-0DB1-4023-B6FA-4B8890F4528D}">
  <ds:schemaRefs/>
</ds:datastoreItem>
</file>

<file path=customXml/itemProps18.xml><?xml version="1.0" encoding="utf-8"?>
<ds:datastoreItem xmlns:ds="http://schemas.openxmlformats.org/officeDocument/2006/customXml" ds:itemID="{F1D9E494-D1D3-4E5F-813B-A393C44798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Reports</vt:lpstr>
      <vt:lpstr>Dashboard</vt:lpstr>
      <vt:lpstr>Daily ER No. of Patients</vt:lpstr>
      <vt:lpstr>Average Wait Time Daily Tren</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2026-08-13T20:02:14Z</dcterms:created>
  <dcterms:modified xsi:type="dcterms:W3CDTF">2026-09-08T21:17:19Z</dcterms:modified>
</cp:coreProperties>
</file>